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athModeling\模块四练习\2026D附件\"/>
    </mc:Choice>
  </mc:AlternateContent>
  <xr:revisionPtr revIDLastSave="0" documentId="13_ncr:1_{08AB0B61-97B7-493C-BDCC-C353B1FD3925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问题1的结果" sheetId="1" r:id="rId1"/>
    <sheet name="问题2的订购方案" sheetId="2" r:id="rId2"/>
    <sheet name="问题3的供应方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64" i="3" l="1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AA62" i="3"/>
  <c r="AA65" i="3" s="1"/>
  <c r="AA66" i="3" s="1"/>
  <c r="Z62" i="3"/>
  <c r="Z65" i="3" s="1"/>
  <c r="Z66" i="3" s="1"/>
  <c r="Y62" i="3"/>
  <c r="Y65" i="3" s="1"/>
  <c r="Y66" i="3" s="1"/>
  <c r="X62" i="3"/>
  <c r="X65" i="3" s="1"/>
  <c r="X66" i="3" s="1"/>
  <c r="W62" i="3"/>
  <c r="W65" i="3" s="1"/>
  <c r="W66" i="3" s="1"/>
  <c r="V62" i="3"/>
  <c r="V65" i="3" s="1"/>
  <c r="V66" i="3" s="1"/>
  <c r="U62" i="3"/>
  <c r="U65" i="3" s="1"/>
  <c r="U66" i="3" s="1"/>
  <c r="T62" i="3"/>
  <c r="T65" i="3" s="1"/>
  <c r="T66" i="3" s="1"/>
  <c r="S62" i="3"/>
  <c r="S65" i="3" s="1"/>
  <c r="S66" i="3" s="1"/>
  <c r="R62" i="3"/>
  <c r="R65" i="3" s="1"/>
  <c r="R66" i="3" s="1"/>
  <c r="Q62" i="3"/>
  <c r="Q65" i="3" s="1"/>
  <c r="Q66" i="3" s="1"/>
  <c r="P62" i="3"/>
  <c r="P65" i="3" s="1"/>
  <c r="P66" i="3" s="1"/>
  <c r="O62" i="3"/>
  <c r="O65" i="3" s="1"/>
  <c r="O66" i="3" s="1"/>
  <c r="N62" i="3"/>
  <c r="N65" i="3" s="1"/>
  <c r="N66" i="3" s="1"/>
  <c r="M62" i="3"/>
  <c r="M65" i="3" s="1"/>
  <c r="M66" i="3" s="1"/>
  <c r="L62" i="3"/>
  <c r="L65" i="3" s="1"/>
  <c r="L66" i="3" s="1"/>
  <c r="K62" i="3"/>
  <c r="K65" i="3" s="1"/>
  <c r="K66" i="3" s="1"/>
  <c r="J62" i="3"/>
  <c r="J65" i="3" s="1"/>
  <c r="J66" i="3" s="1"/>
  <c r="I62" i="3"/>
  <c r="I65" i="3" s="1"/>
  <c r="I66" i="3" s="1"/>
  <c r="H62" i="3"/>
  <c r="H65" i="3" s="1"/>
  <c r="H66" i="3" s="1"/>
  <c r="G62" i="3"/>
  <c r="G65" i="3" s="1"/>
  <c r="G66" i="3" s="1"/>
  <c r="F62" i="3"/>
  <c r="F65" i="3" s="1"/>
  <c r="F66" i="3" s="1"/>
  <c r="E62" i="3"/>
  <c r="E65" i="3" s="1"/>
  <c r="E66" i="3" s="1"/>
  <c r="D62" i="3"/>
  <c r="D65" i="3" s="1"/>
  <c r="D66" i="3" s="1"/>
  <c r="D67" i="3" s="1"/>
  <c r="Q66" i="2"/>
  <c r="Z65" i="2"/>
  <c r="Z66" i="2" s="1"/>
  <c r="Q65" i="2"/>
  <c r="P65" i="2"/>
  <c r="P66" i="2" s="1"/>
  <c r="J65" i="2"/>
  <c r="J66" i="2" s="1"/>
  <c r="AA64" i="2"/>
  <c r="Z64" i="2"/>
  <c r="Y64" i="2"/>
  <c r="X64" i="2"/>
  <c r="W64" i="2"/>
  <c r="V64" i="2"/>
  <c r="U64" i="2"/>
  <c r="T64" i="2"/>
  <c r="T65" i="2" s="1"/>
  <c r="T66" i="2" s="1"/>
  <c r="S64" i="2"/>
  <c r="R64" i="2"/>
  <c r="Q64" i="2"/>
  <c r="P64" i="2"/>
  <c r="O64" i="2"/>
  <c r="N64" i="2"/>
  <c r="M64" i="2"/>
  <c r="AB64" i="2" s="1"/>
  <c r="L64" i="2"/>
  <c r="K64" i="2"/>
  <c r="J64" i="2"/>
  <c r="I64" i="2"/>
  <c r="H64" i="2"/>
  <c r="G64" i="2"/>
  <c r="F64" i="2"/>
  <c r="E64" i="2"/>
  <c r="D64" i="2"/>
  <c r="D65" i="2" s="1"/>
  <c r="AB63" i="2"/>
  <c r="AA63" i="2"/>
  <c r="Z63" i="2"/>
  <c r="Y63" i="2"/>
  <c r="Y65" i="2" s="1"/>
  <c r="Y66" i="2" s="1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I65" i="2" s="1"/>
  <c r="I66" i="2" s="1"/>
  <c r="H63" i="2"/>
  <c r="G63" i="2"/>
  <c r="F63" i="2"/>
  <c r="E63" i="2"/>
  <c r="D63" i="2"/>
  <c r="AA62" i="2"/>
  <c r="AA65" i="2" s="1"/>
  <c r="AA66" i="2" s="1"/>
  <c r="Z62" i="2"/>
  <c r="Y62" i="2"/>
  <c r="X62" i="2"/>
  <c r="X65" i="2" s="1"/>
  <c r="X66" i="2" s="1"/>
  <c r="W62" i="2"/>
  <c r="W65" i="2" s="1"/>
  <c r="W66" i="2" s="1"/>
  <c r="V62" i="2"/>
  <c r="V65" i="2" s="1"/>
  <c r="V66" i="2" s="1"/>
  <c r="U62" i="2"/>
  <c r="U65" i="2" s="1"/>
  <c r="U66" i="2" s="1"/>
  <c r="T62" i="2"/>
  <c r="S62" i="2"/>
  <c r="S65" i="2" s="1"/>
  <c r="S66" i="2" s="1"/>
  <c r="R62" i="2"/>
  <c r="R65" i="2" s="1"/>
  <c r="R66" i="2" s="1"/>
  <c r="Q62" i="2"/>
  <c r="P62" i="2"/>
  <c r="O62" i="2"/>
  <c r="O65" i="2" s="1"/>
  <c r="O66" i="2" s="1"/>
  <c r="N62" i="2"/>
  <c r="N65" i="2" s="1"/>
  <c r="N66" i="2" s="1"/>
  <c r="M62" i="2"/>
  <c r="M65" i="2" s="1"/>
  <c r="M66" i="2" s="1"/>
  <c r="L62" i="2"/>
  <c r="L65" i="2" s="1"/>
  <c r="L66" i="2" s="1"/>
  <c r="K62" i="2"/>
  <c r="AB62" i="2" s="1"/>
  <c r="J62" i="2"/>
  <c r="I62" i="2"/>
  <c r="H62" i="2"/>
  <c r="H65" i="2" s="1"/>
  <c r="H66" i="2" s="1"/>
  <c r="G62" i="2"/>
  <c r="G65" i="2" s="1"/>
  <c r="G66" i="2" s="1"/>
  <c r="F62" i="2"/>
  <c r="F65" i="2" s="1"/>
  <c r="F66" i="2" s="1"/>
  <c r="E62" i="2"/>
  <c r="E65" i="2" s="1"/>
  <c r="E66" i="2" s="1"/>
  <c r="D62" i="2"/>
  <c r="D66" i="2" l="1"/>
  <c r="K65" i="2"/>
  <c r="K66" i="2" s="1"/>
  <c r="AB66" i="2" l="1"/>
  <c r="AB65" i="2"/>
</calcChain>
</file>

<file path=xl/sharedStrings.xml><?xml version="1.0" encoding="utf-8"?>
<sst xmlns="http://schemas.openxmlformats.org/spreadsheetml/2006/main" count="419" uniqueCount="98">
  <si>
    <t>注意：</t>
  </si>
  <si>
    <t>1.请不要修改表格中已有的任何信息；</t>
  </si>
  <si>
    <t>2.仅在表中浅蓝色区域填写订货量数据，没有订货为空白，单位为立方米。</t>
  </si>
  <si>
    <t>3.数据中及左右不要有空格和其他任何符号。</t>
  </si>
  <si>
    <t>编号</t>
  </si>
  <si>
    <t>供应商ID</t>
  </si>
  <si>
    <t>材料分类</t>
  </si>
  <si>
    <t>S229</t>
  </si>
  <si>
    <t>A</t>
  </si>
  <si>
    <t>S361</t>
  </si>
  <si>
    <t>C</t>
  </si>
  <si>
    <t>S108</t>
  </si>
  <si>
    <t>B</t>
  </si>
  <si>
    <t>S140</t>
  </si>
  <si>
    <t>S282</t>
  </si>
  <si>
    <t>S340</t>
  </si>
  <si>
    <t>S151</t>
  </si>
  <si>
    <t>S275</t>
  </si>
  <si>
    <t>S329</t>
  </si>
  <si>
    <t>S395</t>
  </si>
  <si>
    <t>S139</t>
  </si>
  <si>
    <t>S356</t>
  </si>
  <si>
    <t>S131</t>
  </si>
  <si>
    <t>S268</t>
  </si>
  <si>
    <t>S330</t>
  </si>
  <si>
    <t>S308</t>
  </si>
  <si>
    <t>S306</t>
  </si>
  <si>
    <t>S194</t>
  </si>
  <si>
    <t>S307</t>
  </si>
  <si>
    <t>S352</t>
  </si>
  <si>
    <t>S348</t>
  </si>
  <si>
    <t>S143</t>
  </si>
  <si>
    <t>S037</t>
  </si>
  <si>
    <t>S374</t>
  </si>
  <si>
    <t>S247</t>
  </si>
  <si>
    <t>S284</t>
  </si>
  <si>
    <t>S126</t>
  </si>
  <si>
    <t>S365</t>
  </si>
  <si>
    <t>S031</t>
  </si>
  <si>
    <t>S338</t>
  </si>
  <si>
    <t>S364</t>
  </si>
  <si>
    <t>S178</t>
  </si>
  <si>
    <t>S053</t>
  </si>
  <si>
    <t>S218</t>
  </si>
  <si>
    <t>S067</t>
  </si>
  <si>
    <t>S174</t>
  </si>
  <si>
    <t>S040</t>
  </si>
  <si>
    <t>S362</t>
  </si>
  <si>
    <t>S239</t>
  </si>
  <si>
    <t>S342</t>
  </si>
  <si>
    <t>S379</t>
  </si>
  <si>
    <t>S055</t>
  </si>
  <si>
    <t>S294</t>
  </si>
  <si>
    <t>S175</t>
  </si>
  <si>
    <t>S221</t>
  </si>
  <si>
    <t>S080</t>
  </si>
  <si>
    <t>S237</t>
  </si>
  <si>
    <t>S367</t>
  </si>
  <si>
    <t>S213</t>
  </si>
  <si>
    <t>S114</t>
  </si>
  <si>
    <t>S005</t>
  </si>
  <si>
    <t>S244</t>
  </si>
  <si>
    <t>S346</t>
  </si>
  <si>
    <t>S169</t>
  </si>
  <si>
    <t>S076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</si>
  <si>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</si>
  <si>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</si>
  <si>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</si>
  <si>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</si>
  <si>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</si>
  <si>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</si>
  <si>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</si>
  <si>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</si>
  <si>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</si>
  <si>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</si>
  <si>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</si>
  <si>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</si>
  <si>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</si>
  <si>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</si>
  <si>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</si>
  <si>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</si>
  <si>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</si>
  <si>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</si>
  <si>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</si>
  <si>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</si>
  <si>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</si>
  <si>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</si>
  <si>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</si>
  <si>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</si>
  <si>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累计剩余产能</t>
  </si>
  <si>
    <t>材料种类</t>
  </si>
  <si>
    <t>A类数量</t>
  </si>
  <si>
    <t>B类数量</t>
  </si>
  <si>
    <t>C类数量</t>
  </si>
  <si>
    <t>本周总产能</t>
  </si>
  <si>
    <t>订购满足产能比例</t>
  </si>
  <si>
    <t>供应满足产能比例</t>
  </si>
  <si>
    <t>供应满足产能整体比例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</si>
</sst>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theme="8"/>
      <name val="宋体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宋体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/>
    <xf numFmtId="0" fontId="0" fillId="4" borderId="7" xfId="0" applyFill="1" applyBorder="1" applyAlignment="1">
      <alignment horizontal="center" vertical="center"/>
    </xf>
    <xf numFmtId="0" fontId="0" fillId="0" borderId="2" xfId="0" applyBorder="1" applyAlignment="1"/>
    <xf numFmtId="0" fontId="0" fillId="0" borderId="7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"/>
  <sheetViews>
    <sheetView workbookViewId="0">
      <selection activeCell="F16" sqref="F16"/>
    </sheetView>
  </sheetViews>
  <sheetFormatPr defaultColWidth="9" defaultRowHeight="13.5" x14ac:dyDescent="0.3"/>
  <cols>
    <col min="2" max="2" width="9.59765625" style="14" customWidth="1"/>
    <col min="3" max="3" width="13.73046875" style="14" customWidth="1"/>
    <col min="4" max="4" width="10.59765625" style="14" customWidth="1"/>
  </cols>
  <sheetData>
    <row r="1" spans="1:3" s="2" customFormat="1" x14ac:dyDescent="0.3">
      <c r="B1" s="1" t="s">
        <v>0</v>
      </c>
      <c r="C1" s="1"/>
    </row>
    <row r="2" spans="1:3" s="2" customFormat="1" x14ac:dyDescent="0.3">
      <c r="B2" s="1" t="s">
        <v>1</v>
      </c>
      <c r="C2" s="1"/>
    </row>
    <row r="3" spans="1:3" s="2" customFormat="1" x14ac:dyDescent="0.3">
      <c r="B3" s="1" t="s">
        <v>2</v>
      </c>
      <c r="C3" s="1"/>
    </row>
    <row r="4" spans="1:3" s="2" customFormat="1" x14ac:dyDescent="0.3">
      <c r="B4" s="1" t="s">
        <v>3</v>
      </c>
      <c r="C4" s="1"/>
    </row>
    <row r="5" spans="1:3" s="2" customFormat="1" x14ac:dyDescent="0.3"/>
    <row r="6" spans="1:3" s="2" customFormat="1" x14ac:dyDescent="0.3">
      <c r="A6" s="3" t="s">
        <v>4</v>
      </c>
      <c r="B6" s="3" t="s">
        <v>5</v>
      </c>
      <c r="C6" s="3" t="s">
        <v>6</v>
      </c>
    </row>
    <row r="7" spans="1:3" x14ac:dyDescent="0.3">
      <c r="A7" s="3">
        <v>1</v>
      </c>
      <c r="B7" s="4" t="s">
        <v>7</v>
      </c>
      <c r="C7" s="4" t="s">
        <v>8</v>
      </c>
    </row>
    <row r="8" spans="1:3" x14ac:dyDescent="0.3">
      <c r="A8" s="3">
        <v>2</v>
      </c>
      <c r="B8" s="4" t="s">
        <v>9</v>
      </c>
      <c r="C8" s="4" t="s">
        <v>10</v>
      </c>
    </row>
    <row r="9" spans="1:3" x14ac:dyDescent="0.3">
      <c r="A9" s="3">
        <v>3</v>
      </c>
      <c r="B9" s="4" t="s">
        <v>11</v>
      </c>
      <c r="C9" s="4" t="s">
        <v>12</v>
      </c>
    </row>
    <row r="10" spans="1:3" x14ac:dyDescent="0.3">
      <c r="A10" s="3">
        <v>4</v>
      </c>
      <c r="B10" s="4" t="s">
        <v>13</v>
      </c>
      <c r="C10" s="4" t="s">
        <v>12</v>
      </c>
    </row>
    <row r="11" spans="1:3" x14ac:dyDescent="0.3">
      <c r="A11" s="3">
        <v>5</v>
      </c>
      <c r="B11" s="4" t="s">
        <v>14</v>
      </c>
      <c r="C11" s="4" t="s">
        <v>8</v>
      </c>
    </row>
    <row r="12" spans="1:3" x14ac:dyDescent="0.3">
      <c r="A12" s="3">
        <v>6</v>
      </c>
      <c r="B12" s="4" t="s">
        <v>15</v>
      </c>
      <c r="C12" s="4" t="s">
        <v>12</v>
      </c>
    </row>
    <row r="13" spans="1:3" x14ac:dyDescent="0.3">
      <c r="A13" s="3">
        <v>7</v>
      </c>
      <c r="B13" s="4" t="s">
        <v>16</v>
      </c>
      <c r="C13" s="4" t="s">
        <v>10</v>
      </c>
    </row>
    <row r="14" spans="1:3" x14ac:dyDescent="0.3">
      <c r="A14" s="3">
        <v>8</v>
      </c>
      <c r="B14" s="4" t="s">
        <v>17</v>
      </c>
      <c r="C14" s="4" t="s">
        <v>8</v>
      </c>
    </row>
    <row r="15" spans="1:3" x14ac:dyDescent="0.3">
      <c r="A15" s="3">
        <v>9</v>
      </c>
      <c r="B15" s="4" t="s">
        <v>18</v>
      </c>
      <c r="C15" s="4" t="s">
        <v>8</v>
      </c>
    </row>
    <row r="16" spans="1:3" x14ac:dyDescent="0.3">
      <c r="A16" s="3">
        <v>10</v>
      </c>
      <c r="B16" s="4" t="s">
        <v>19</v>
      </c>
      <c r="C16" s="4" t="s">
        <v>8</v>
      </c>
    </row>
    <row r="17" spans="1:3" x14ac:dyDescent="0.3">
      <c r="A17" s="3">
        <v>11</v>
      </c>
      <c r="B17" s="4" t="s">
        <v>20</v>
      </c>
      <c r="C17" s="4" t="s">
        <v>12</v>
      </c>
    </row>
    <row r="18" spans="1:3" x14ac:dyDescent="0.3">
      <c r="A18" s="3">
        <v>12</v>
      </c>
      <c r="B18" s="4" t="s">
        <v>21</v>
      </c>
      <c r="C18" s="4" t="s">
        <v>10</v>
      </c>
    </row>
    <row r="19" spans="1:3" x14ac:dyDescent="0.3">
      <c r="A19" s="3">
        <v>13</v>
      </c>
      <c r="B19" s="4" t="s">
        <v>22</v>
      </c>
      <c r="C19" s="4" t="s">
        <v>12</v>
      </c>
    </row>
    <row r="20" spans="1:3" x14ac:dyDescent="0.3">
      <c r="A20" s="3">
        <v>14</v>
      </c>
      <c r="B20" s="4" t="s">
        <v>23</v>
      </c>
      <c r="C20" s="4" t="s">
        <v>10</v>
      </c>
    </row>
    <row r="21" spans="1:3" x14ac:dyDescent="0.3">
      <c r="A21" s="3">
        <v>15</v>
      </c>
      <c r="B21" s="4" t="s">
        <v>24</v>
      </c>
      <c r="C21" s="4" t="s">
        <v>12</v>
      </c>
    </row>
    <row r="22" spans="1:3" x14ac:dyDescent="0.3">
      <c r="A22" s="3">
        <v>16</v>
      </c>
      <c r="B22" s="4" t="s">
        <v>25</v>
      </c>
      <c r="C22" s="4" t="s">
        <v>12</v>
      </c>
    </row>
    <row r="23" spans="1:3" x14ac:dyDescent="0.3">
      <c r="A23" s="3">
        <v>17</v>
      </c>
      <c r="B23" s="4" t="s">
        <v>26</v>
      </c>
      <c r="C23" s="4" t="s">
        <v>10</v>
      </c>
    </row>
    <row r="24" spans="1:3" x14ac:dyDescent="0.3">
      <c r="A24" s="3">
        <v>18</v>
      </c>
      <c r="B24" s="4" t="s">
        <v>27</v>
      </c>
      <c r="C24" s="4" t="s">
        <v>10</v>
      </c>
    </row>
    <row r="25" spans="1:3" x14ac:dyDescent="0.3">
      <c r="A25" s="3">
        <v>19</v>
      </c>
      <c r="B25" s="4" t="s">
        <v>28</v>
      </c>
      <c r="C25" s="4" t="s">
        <v>8</v>
      </c>
    </row>
    <row r="26" spans="1:3" x14ac:dyDescent="0.3">
      <c r="A26" s="3">
        <v>20</v>
      </c>
      <c r="B26" s="4" t="s">
        <v>29</v>
      </c>
      <c r="C26" s="4" t="s">
        <v>8</v>
      </c>
    </row>
    <row r="27" spans="1:3" x14ac:dyDescent="0.3">
      <c r="A27" s="3">
        <v>21</v>
      </c>
      <c r="B27" s="4" t="s">
        <v>30</v>
      </c>
      <c r="C27" s="4" t="s">
        <v>8</v>
      </c>
    </row>
    <row r="28" spans="1:3" x14ac:dyDescent="0.3">
      <c r="A28" s="3">
        <v>22</v>
      </c>
      <c r="B28" s="4" t="s">
        <v>31</v>
      </c>
      <c r="C28" s="4" t="s">
        <v>8</v>
      </c>
    </row>
    <row r="29" spans="1:3" x14ac:dyDescent="0.3">
      <c r="A29" s="3">
        <v>23</v>
      </c>
      <c r="B29" s="4" t="s">
        <v>32</v>
      </c>
      <c r="C29" s="4" t="s">
        <v>10</v>
      </c>
    </row>
    <row r="30" spans="1:3" x14ac:dyDescent="0.3">
      <c r="A30" s="3">
        <v>24</v>
      </c>
      <c r="B30" s="4" t="s">
        <v>33</v>
      </c>
      <c r="C30" s="4" t="s">
        <v>10</v>
      </c>
    </row>
    <row r="31" spans="1:3" x14ac:dyDescent="0.3">
      <c r="A31" s="3">
        <v>25</v>
      </c>
      <c r="B31" s="4" t="s">
        <v>34</v>
      </c>
      <c r="C31" s="4" t="s">
        <v>10</v>
      </c>
    </row>
    <row r="32" spans="1:3" x14ac:dyDescent="0.3">
      <c r="A32" s="3">
        <v>26</v>
      </c>
      <c r="B32" s="4" t="s">
        <v>35</v>
      </c>
      <c r="C32" s="4" t="s">
        <v>10</v>
      </c>
    </row>
    <row r="33" spans="1:3" x14ac:dyDescent="0.3">
      <c r="A33" s="3">
        <v>27</v>
      </c>
      <c r="B33" s="4" t="s">
        <v>36</v>
      </c>
      <c r="C33" s="4" t="s">
        <v>10</v>
      </c>
    </row>
    <row r="34" spans="1:3" x14ac:dyDescent="0.3">
      <c r="A34" s="3">
        <v>28</v>
      </c>
      <c r="B34" s="4" t="s">
        <v>37</v>
      </c>
      <c r="C34" s="4" t="s">
        <v>10</v>
      </c>
    </row>
    <row r="35" spans="1:3" x14ac:dyDescent="0.3">
      <c r="A35" s="3">
        <v>29</v>
      </c>
      <c r="B35" s="4" t="s">
        <v>38</v>
      </c>
      <c r="C35" s="4" t="s">
        <v>12</v>
      </c>
    </row>
    <row r="36" spans="1:3" x14ac:dyDescent="0.3">
      <c r="A36" s="3">
        <v>30</v>
      </c>
      <c r="B36" s="4" t="s">
        <v>39</v>
      </c>
      <c r="C36" s="4" t="s">
        <v>12</v>
      </c>
    </row>
    <row r="37" spans="1:3" x14ac:dyDescent="0.3">
      <c r="A37" s="3">
        <v>31</v>
      </c>
      <c r="B37" s="4" t="s">
        <v>40</v>
      </c>
      <c r="C37" s="4" t="s">
        <v>12</v>
      </c>
    </row>
    <row r="38" spans="1:3" x14ac:dyDescent="0.3">
      <c r="A38" s="3">
        <v>32</v>
      </c>
      <c r="B38" s="4" t="s">
        <v>41</v>
      </c>
      <c r="C38" s="4" t="s">
        <v>8</v>
      </c>
    </row>
    <row r="39" spans="1:3" x14ac:dyDescent="0.3">
      <c r="A39" s="3">
        <v>33</v>
      </c>
      <c r="B39" s="4" t="s">
        <v>42</v>
      </c>
      <c r="C39" s="4" t="s">
        <v>8</v>
      </c>
    </row>
    <row r="40" spans="1:3" x14ac:dyDescent="0.3">
      <c r="A40" s="3">
        <v>34</v>
      </c>
      <c r="B40" s="4" t="s">
        <v>43</v>
      </c>
      <c r="C40" s="4" t="s">
        <v>10</v>
      </c>
    </row>
    <row r="41" spans="1:3" x14ac:dyDescent="0.3">
      <c r="A41" s="3">
        <v>35</v>
      </c>
      <c r="B41" s="4" t="s">
        <v>44</v>
      </c>
      <c r="C41" s="4" t="s">
        <v>10</v>
      </c>
    </row>
    <row r="42" spans="1:3" x14ac:dyDescent="0.3">
      <c r="A42" s="3">
        <v>36</v>
      </c>
      <c r="B42" s="4" t="s">
        <v>45</v>
      </c>
      <c r="C42" s="4" t="s">
        <v>12</v>
      </c>
    </row>
    <row r="43" spans="1:3" x14ac:dyDescent="0.3">
      <c r="A43" s="3">
        <v>37</v>
      </c>
      <c r="B43" s="4" t="s">
        <v>46</v>
      </c>
      <c r="C43" s="4" t="s">
        <v>12</v>
      </c>
    </row>
    <row r="44" spans="1:3" x14ac:dyDescent="0.3">
      <c r="A44" s="3">
        <v>38</v>
      </c>
      <c r="B44" s="4" t="s">
        <v>47</v>
      </c>
      <c r="C44" s="4" t="s">
        <v>10</v>
      </c>
    </row>
    <row r="45" spans="1:3" x14ac:dyDescent="0.3">
      <c r="A45" s="3">
        <v>39</v>
      </c>
      <c r="B45" s="4" t="s">
        <v>48</v>
      </c>
      <c r="C45" s="4" t="s">
        <v>10</v>
      </c>
    </row>
    <row r="46" spans="1:3" x14ac:dyDescent="0.3">
      <c r="A46" s="3">
        <v>40</v>
      </c>
      <c r="B46" s="4" t="s">
        <v>49</v>
      </c>
      <c r="C46" s="4" t="s">
        <v>10</v>
      </c>
    </row>
    <row r="47" spans="1:3" x14ac:dyDescent="0.3">
      <c r="A47" s="3">
        <v>41</v>
      </c>
      <c r="B47" s="4" t="s">
        <v>50</v>
      </c>
      <c r="C47" s="4" t="s">
        <v>10</v>
      </c>
    </row>
    <row r="48" spans="1:3" x14ac:dyDescent="0.3">
      <c r="A48" s="3">
        <v>42</v>
      </c>
      <c r="B48" s="4" t="s">
        <v>51</v>
      </c>
      <c r="C48" s="4" t="s">
        <v>12</v>
      </c>
    </row>
    <row r="49" spans="1:3" x14ac:dyDescent="0.3">
      <c r="A49" s="3">
        <v>43</v>
      </c>
      <c r="B49" s="4" t="s">
        <v>52</v>
      </c>
      <c r="C49" s="4" t="s">
        <v>10</v>
      </c>
    </row>
    <row r="50" spans="1:3" x14ac:dyDescent="0.3">
      <c r="A50" s="3">
        <v>44</v>
      </c>
      <c r="B50" s="4" t="s">
        <v>53</v>
      </c>
      <c r="C50" s="4" t="s">
        <v>12</v>
      </c>
    </row>
    <row r="51" spans="1:3" x14ac:dyDescent="0.3">
      <c r="A51" s="3">
        <v>45</v>
      </c>
      <c r="B51" s="4" t="s">
        <v>54</v>
      </c>
      <c r="C51" s="4" t="s">
        <v>8</v>
      </c>
    </row>
    <row r="52" spans="1:3" x14ac:dyDescent="0.3">
      <c r="A52" s="3">
        <v>46</v>
      </c>
      <c r="B52" s="4" t="s">
        <v>55</v>
      </c>
      <c r="C52" s="4" t="s">
        <v>10</v>
      </c>
    </row>
    <row r="53" spans="1:3" x14ac:dyDescent="0.3">
      <c r="A53" s="3">
        <v>47</v>
      </c>
      <c r="B53" s="4" t="s">
        <v>56</v>
      </c>
      <c r="C53" s="4" t="s">
        <v>8</v>
      </c>
    </row>
    <row r="54" spans="1:3" x14ac:dyDescent="0.3">
      <c r="A54" s="3">
        <v>48</v>
      </c>
      <c r="B54" s="4" t="s">
        <v>57</v>
      </c>
      <c r="C54" s="4" t="s">
        <v>12</v>
      </c>
    </row>
    <row r="55" spans="1:3" x14ac:dyDescent="0.3">
      <c r="A55" s="3">
        <v>49</v>
      </c>
      <c r="B55" s="4" t="s">
        <v>58</v>
      </c>
      <c r="C55" s="4" t="s">
        <v>10</v>
      </c>
    </row>
    <row r="56" spans="1:3" x14ac:dyDescent="0.3">
      <c r="A56" s="3">
        <v>50</v>
      </c>
      <c r="B56" s="4" t="s">
        <v>59</v>
      </c>
      <c r="C56" s="4" t="s">
        <v>8</v>
      </c>
    </row>
    <row r="57" spans="1:3" x14ac:dyDescent="0.3">
      <c r="A57" s="3">
        <v>51</v>
      </c>
      <c r="B57" s="4" t="s">
        <v>60</v>
      </c>
      <c r="C57" s="4" t="s">
        <v>8</v>
      </c>
    </row>
    <row r="58" spans="1:3" x14ac:dyDescent="0.3">
      <c r="A58" s="3">
        <v>52</v>
      </c>
      <c r="B58" s="4" t="s">
        <v>61</v>
      </c>
      <c r="C58" s="4" t="s">
        <v>10</v>
      </c>
    </row>
    <row r="59" spans="1:3" x14ac:dyDescent="0.3">
      <c r="A59" s="3">
        <v>53</v>
      </c>
      <c r="B59" s="4" t="s">
        <v>62</v>
      </c>
      <c r="C59" s="4" t="s">
        <v>12</v>
      </c>
    </row>
    <row r="60" spans="1:3" x14ac:dyDescent="0.3">
      <c r="A60" s="3">
        <v>54</v>
      </c>
      <c r="B60" s="4" t="s">
        <v>63</v>
      </c>
      <c r="C60" s="4" t="s">
        <v>12</v>
      </c>
    </row>
    <row r="61" spans="1:3" ht="15.95" customHeight="1" x14ac:dyDescent="0.3">
      <c r="A61" s="3">
        <v>55</v>
      </c>
      <c r="B61" s="4" t="s">
        <v>64</v>
      </c>
      <c r="C61" s="4" t="s">
        <v>10</v>
      </c>
    </row>
    <row r="62" spans="1:3" ht="18.95" customHeight="1" x14ac:dyDescent="0.3"/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6"/>
  <sheetViews>
    <sheetView tabSelected="1" topLeftCell="A7" workbookViewId="0">
      <selection activeCell="AB60" sqref="AB60"/>
    </sheetView>
  </sheetViews>
  <sheetFormatPr defaultColWidth="9" defaultRowHeight="13.5" x14ac:dyDescent="0.3"/>
  <cols>
    <col min="2" max="2" width="9.59765625" style="14" customWidth="1"/>
    <col min="3" max="3" width="13.73046875" style="14" customWidth="1"/>
    <col min="4" max="4" width="10.59765625" style="14" customWidth="1"/>
    <col min="5" max="5" width="10.1328125" style="14" customWidth="1"/>
    <col min="6" max="10" width="11.1328125" style="14" customWidth="1"/>
    <col min="11" max="11" width="10.1328125" style="14" customWidth="1"/>
    <col min="12" max="12" width="11.1328125" style="14" customWidth="1"/>
    <col min="28" max="28" width="14.1328125" style="14" customWidth="1"/>
    <col min="29" max="29" width="15.3984375" style="14" customWidth="1"/>
  </cols>
  <sheetData>
    <row r="1" spans="1:27" s="2" customFormat="1" x14ac:dyDescent="0.3">
      <c r="B1" s="1" t="s">
        <v>0</v>
      </c>
      <c r="C1" s="1"/>
    </row>
    <row r="2" spans="1:27" s="2" customFormat="1" x14ac:dyDescent="0.3">
      <c r="B2" s="1" t="s">
        <v>1</v>
      </c>
      <c r="C2" s="1"/>
    </row>
    <row r="3" spans="1:27" s="2" customFormat="1" x14ac:dyDescent="0.3">
      <c r="B3" s="1" t="s">
        <v>2</v>
      </c>
      <c r="C3" s="1"/>
    </row>
    <row r="4" spans="1:27" s="2" customFormat="1" x14ac:dyDescent="0.3">
      <c r="B4" s="1" t="s">
        <v>3</v>
      </c>
      <c r="C4" s="1"/>
    </row>
    <row r="5" spans="1:27" s="2" customFormat="1" x14ac:dyDescent="0.3"/>
    <row r="6" spans="1:27" s="2" customFormat="1" x14ac:dyDescent="0.3">
      <c r="A6" s="3" t="s">
        <v>4</v>
      </c>
      <c r="B6" s="3" t="s">
        <v>5</v>
      </c>
      <c r="C6" s="3" t="s">
        <v>6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72</v>
      </c>
      <c r="L6" s="3" t="s">
        <v>73</v>
      </c>
      <c r="M6" s="3" t="s">
        <v>74</v>
      </c>
      <c r="N6" s="3" t="s">
        <v>75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3" t="s">
        <v>83</v>
      </c>
      <c r="W6" s="3" t="s">
        <v>84</v>
      </c>
      <c r="X6" s="3" t="s">
        <v>85</v>
      </c>
      <c r="Y6" s="3" t="s">
        <v>86</v>
      </c>
      <c r="Z6" s="3" t="s">
        <v>87</v>
      </c>
      <c r="AA6" s="3" t="s">
        <v>88</v>
      </c>
    </row>
    <row r="7" spans="1:27" x14ac:dyDescent="0.3">
      <c r="A7" s="3">
        <v>1</v>
      </c>
      <c r="B7" s="4" t="s">
        <v>7</v>
      </c>
      <c r="C7" s="4" t="s">
        <v>8</v>
      </c>
      <c r="D7" s="4">
        <v>1231</v>
      </c>
      <c r="E7" s="4">
        <v>1231</v>
      </c>
      <c r="F7" s="4">
        <v>1231</v>
      </c>
      <c r="G7" s="4">
        <v>1231</v>
      </c>
      <c r="H7" s="4">
        <v>1231</v>
      </c>
      <c r="I7" s="4">
        <v>1231</v>
      </c>
      <c r="J7" s="4">
        <v>1231</v>
      </c>
      <c r="K7" s="4">
        <v>1231</v>
      </c>
      <c r="L7" s="4">
        <v>1231</v>
      </c>
      <c r="M7" s="4">
        <v>1231</v>
      </c>
      <c r="N7" s="4">
        <v>1231</v>
      </c>
      <c r="O7" s="4">
        <v>1231</v>
      </c>
      <c r="P7" s="4">
        <v>1231</v>
      </c>
      <c r="Q7" s="4">
        <v>1231</v>
      </c>
      <c r="R7" s="4">
        <v>1231</v>
      </c>
      <c r="S7" s="4">
        <v>1231</v>
      </c>
      <c r="T7" s="4">
        <v>1231</v>
      </c>
      <c r="U7" s="4">
        <v>1231</v>
      </c>
      <c r="V7" s="4">
        <v>1231</v>
      </c>
      <c r="W7" s="4">
        <v>1231</v>
      </c>
      <c r="X7" s="4">
        <v>1231</v>
      </c>
      <c r="Y7" s="4">
        <v>1231</v>
      </c>
      <c r="Z7" s="4">
        <v>1231</v>
      </c>
      <c r="AA7" s="4">
        <v>1231</v>
      </c>
    </row>
    <row r="8" spans="1:27" x14ac:dyDescent="0.3">
      <c r="A8" s="3">
        <v>2</v>
      </c>
      <c r="B8" s="4" t="s">
        <v>9</v>
      </c>
      <c r="C8" s="4" t="s">
        <v>10</v>
      </c>
      <c r="D8" s="4">
        <v>1152</v>
      </c>
      <c r="E8" s="4">
        <v>1152</v>
      </c>
      <c r="F8" s="4">
        <v>1152</v>
      </c>
      <c r="G8" s="4">
        <v>1152</v>
      </c>
      <c r="H8" s="4">
        <v>1152</v>
      </c>
      <c r="I8" s="4">
        <v>1152</v>
      </c>
      <c r="J8" s="4">
        <v>1152</v>
      </c>
      <c r="K8" s="4">
        <v>1152</v>
      </c>
      <c r="L8" s="4">
        <v>1152</v>
      </c>
      <c r="M8" s="4">
        <v>1152</v>
      </c>
      <c r="N8" s="4">
        <v>1152</v>
      </c>
      <c r="O8" s="4">
        <v>1152</v>
      </c>
      <c r="P8" s="4">
        <v>1152</v>
      </c>
      <c r="Q8" s="4">
        <v>1152</v>
      </c>
      <c r="R8" s="4">
        <v>1152</v>
      </c>
      <c r="S8" s="4">
        <v>1152</v>
      </c>
      <c r="T8" s="4">
        <v>1152</v>
      </c>
      <c r="U8" s="4">
        <v>1152</v>
      </c>
      <c r="V8" s="4">
        <v>1152</v>
      </c>
      <c r="W8" s="4">
        <v>1152</v>
      </c>
      <c r="X8" s="4">
        <v>1152</v>
      </c>
      <c r="Y8" s="4">
        <v>1152</v>
      </c>
      <c r="Z8" s="4">
        <v>1152</v>
      </c>
      <c r="AA8" s="4">
        <v>1152</v>
      </c>
    </row>
    <row r="9" spans="1:27" x14ac:dyDescent="0.3">
      <c r="A9" s="3">
        <v>3</v>
      </c>
      <c r="B9" s="4" t="s">
        <v>11</v>
      </c>
      <c r="C9" s="4" t="s">
        <v>12</v>
      </c>
      <c r="D9" s="4">
        <v>971</v>
      </c>
      <c r="E9" s="4">
        <v>971</v>
      </c>
      <c r="F9" s="4">
        <v>971</v>
      </c>
      <c r="G9" s="4">
        <v>971</v>
      </c>
      <c r="H9" s="4">
        <v>971</v>
      </c>
      <c r="I9" s="4">
        <v>971</v>
      </c>
      <c r="J9" s="4">
        <v>971</v>
      </c>
      <c r="K9" s="4">
        <v>971</v>
      </c>
      <c r="L9" s="4">
        <v>971</v>
      </c>
      <c r="M9" s="4">
        <v>971</v>
      </c>
      <c r="N9" s="4">
        <v>971</v>
      </c>
      <c r="O9" s="4">
        <v>971</v>
      </c>
      <c r="P9" s="4">
        <v>971</v>
      </c>
      <c r="Q9" s="4">
        <v>971</v>
      </c>
      <c r="R9" s="4">
        <v>971</v>
      </c>
      <c r="S9" s="4">
        <v>971</v>
      </c>
      <c r="T9" s="4">
        <v>971</v>
      </c>
      <c r="U9" s="4">
        <v>971</v>
      </c>
      <c r="V9" s="4">
        <v>971</v>
      </c>
      <c r="W9" s="4">
        <v>971</v>
      </c>
      <c r="X9" s="4">
        <v>971</v>
      </c>
      <c r="Y9" s="4">
        <v>971</v>
      </c>
      <c r="Z9" s="4">
        <v>971</v>
      </c>
      <c r="AA9" s="4">
        <v>971</v>
      </c>
    </row>
    <row r="10" spans="1:27" x14ac:dyDescent="0.3">
      <c r="A10" s="3">
        <v>4</v>
      </c>
      <c r="B10" s="4" t="s">
        <v>13</v>
      </c>
      <c r="C10" s="4" t="s">
        <v>12</v>
      </c>
      <c r="D10" s="4">
        <v>1261</v>
      </c>
      <c r="E10" s="4">
        <v>1261</v>
      </c>
      <c r="F10" s="4">
        <v>1261</v>
      </c>
      <c r="G10" s="4">
        <v>1261</v>
      </c>
      <c r="H10" s="4">
        <v>1261</v>
      </c>
      <c r="I10" s="4">
        <v>1261</v>
      </c>
      <c r="J10" s="4">
        <v>1261</v>
      </c>
      <c r="K10" s="4">
        <v>1261</v>
      </c>
      <c r="L10" s="4">
        <v>1261</v>
      </c>
      <c r="M10" s="4">
        <v>1261</v>
      </c>
      <c r="N10" s="4">
        <v>1261</v>
      </c>
      <c r="O10" s="4">
        <v>1261</v>
      </c>
      <c r="P10" s="4">
        <v>1261</v>
      </c>
      <c r="Q10" s="4">
        <v>1261</v>
      </c>
      <c r="R10" s="4">
        <v>1261</v>
      </c>
      <c r="S10" s="4">
        <v>1261</v>
      </c>
      <c r="T10" s="4">
        <v>1261</v>
      </c>
      <c r="U10" s="4">
        <v>1261</v>
      </c>
      <c r="V10" s="4">
        <v>1261</v>
      </c>
      <c r="W10" s="4">
        <v>1261</v>
      </c>
      <c r="X10" s="4">
        <v>1261</v>
      </c>
      <c r="Y10" s="4">
        <v>1261</v>
      </c>
      <c r="Z10" s="4">
        <v>1261</v>
      </c>
      <c r="AA10" s="4">
        <v>1261</v>
      </c>
    </row>
    <row r="11" spans="1:27" x14ac:dyDescent="0.3">
      <c r="A11" s="3">
        <v>5</v>
      </c>
      <c r="B11" s="4" t="s">
        <v>14</v>
      </c>
      <c r="C11" s="4" t="s">
        <v>8</v>
      </c>
      <c r="D11" s="4">
        <v>584</v>
      </c>
      <c r="E11" s="4">
        <v>584</v>
      </c>
      <c r="F11" s="4">
        <v>584</v>
      </c>
      <c r="G11" s="4">
        <v>584</v>
      </c>
      <c r="H11" s="4">
        <v>584</v>
      </c>
      <c r="I11" s="4">
        <v>584</v>
      </c>
      <c r="J11" s="4">
        <v>584</v>
      </c>
      <c r="K11" s="4">
        <v>584</v>
      </c>
      <c r="L11" s="4">
        <v>584</v>
      </c>
      <c r="M11" s="4">
        <v>584</v>
      </c>
      <c r="N11" s="4">
        <v>584</v>
      </c>
      <c r="O11" s="4">
        <v>584</v>
      </c>
      <c r="P11" s="4">
        <v>584</v>
      </c>
      <c r="Q11" s="4">
        <v>584</v>
      </c>
      <c r="R11" s="4">
        <v>584</v>
      </c>
      <c r="S11" s="4">
        <v>584</v>
      </c>
      <c r="T11" s="4">
        <v>584</v>
      </c>
      <c r="U11" s="4">
        <v>584</v>
      </c>
      <c r="V11" s="4">
        <v>584</v>
      </c>
      <c r="W11" s="4">
        <v>584</v>
      </c>
      <c r="X11" s="4">
        <v>584</v>
      </c>
      <c r="Y11" s="4">
        <v>584</v>
      </c>
      <c r="Z11" s="4">
        <v>584</v>
      </c>
      <c r="AA11" s="4">
        <v>584</v>
      </c>
    </row>
    <row r="12" spans="1:27" x14ac:dyDescent="0.3">
      <c r="A12" s="3">
        <v>6</v>
      </c>
      <c r="B12" s="4" t="s">
        <v>15</v>
      </c>
      <c r="C12" s="4" t="s">
        <v>12</v>
      </c>
      <c r="D12" s="4">
        <v>589</v>
      </c>
      <c r="E12" s="4">
        <v>589</v>
      </c>
      <c r="F12" s="4">
        <v>589</v>
      </c>
      <c r="G12" s="4">
        <v>589</v>
      </c>
      <c r="H12" s="4">
        <v>589</v>
      </c>
      <c r="I12" s="4">
        <v>589</v>
      </c>
      <c r="J12" s="4">
        <v>589</v>
      </c>
      <c r="K12" s="4">
        <v>589</v>
      </c>
      <c r="L12" s="4">
        <v>589</v>
      </c>
      <c r="M12" s="4">
        <v>589</v>
      </c>
      <c r="N12" s="4">
        <v>589</v>
      </c>
      <c r="O12" s="4">
        <v>589</v>
      </c>
      <c r="P12" s="4">
        <v>589</v>
      </c>
      <c r="Q12" s="4">
        <v>589</v>
      </c>
      <c r="R12" s="4">
        <v>589</v>
      </c>
      <c r="S12" s="4">
        <v>589</v>
      </c>
      <c r="T12" s="4">
        <v>589</v>
      </c>
      <c r="U12" s="4">
        <v>589</v>
      </c>
      <c r="V12" s="4">
        <v>589</v>
      </c>
      <c r="W12" s="4">
        <v>589</v>
      </c>
      <c r="X12" s="4">
        <v>589</v>
      </c>
      <c r="Y12" s="4">
        <v>589</v>
      </c>
      <c r="Z12" s="4">
        <v>589</v>
      </c>
      <c r="AA12" s="4">
        <v>589</v>
      </c>
    </row>
    <row r="13" spans="1:27" x14ac:dyDescent="0.3">
      <c r="A13" s="3">
        <v>7</v>
      </c>
      <c r="B13" s="4" t="s">
        <v>16</v>
      </c>
      <c r="C13" s="4" t="s">
        <v>10</v>
      </c>
      <c r="D13" s="4">
        <v>782</v>
      </c>
      <c r="E13" s="4">
        <v>782</v>
      </c>
      <c r="F13" s="4">
        <v>782</v>
      </c>
      <c r="G13" s="4">
        <v>782</v>
      </c>
      <c r="H13" s="4">
        <v>782</v>
      </c>
      <c r="I13" s="4">
        <v>782</v>
      </c>
      <c r="J13" s="4">
        <v>782</v>
      </c>
      <c r="K13" s="4">
        <v>782</v>
      </c>
      <c r="L13" s="4">
        <v>782</v>
      </c>
      <c r="M13" s="4">
        <v>782</v>
      </c>
      <c r="N13" s="4">
        <v>782</v>
      </c>
      <c r="O13" s="4">
        <v>782</v>
      </c>
      <c r="P13" s="4">
        <v>782</v>
      </c>
      <c r="Q13" s="4">
        <v>782</v>
      </c>
      <c r="R13" s="4">
        <v>782</v>
      </c>
      <c r="S13" s="4">
        <v>782</v>
      </c>
      <c r="T13" s="4">
        <v>782</v>
      </c>
      <c r="U13" s="4">
        <v>782</v>
      </c>
      <c r="V13" s="4">
        <v>782</v>
      </c>
      <c r="W13" s="4">
        <v>782</v>
      </c>
      <c r="X13" s="4">
        <v>782</v>
      </c>
      <c r="Y13" s="4">
        <v>782</v>
      </c>
      <c r="Z13" s="4">
        <v>782</v>
      </c>
      <c r="AA13" s="4">
        <v>782</v>
      </c>
    </row>
    <row r="14" spans="1:27" x14ac:dyDescent="0.3">
      <c r="A14" s="3">
        <v>8</v>
      </c>
      <c r="B14" s="4" t="s">
        <v>17</v>
      </c>
      <c r="C14" s="4" t="s">
        <v>8</v>
      </c>
      <c r="D14" s="4">
        <v>541</v>
      </c>
      <c r="E14" s="4">
        <v>541</v>
      </c>
      <c r="F14" s="4">
        <v>541</v>
      </c>
      <c r="G14" s="4">
        <v>541</v>
      </c>
      <c r="H14" s="4">
        <v>541</v>
      </c>
      <c r="I14" s="4">
        <v>541</v>
      </c>
      <c r="J14" s="4">
        <v>541</v>
      </c>
      <c r="K14" s="4">
        <v>541</v>
      </c>
      <c r="L14" s="4">
        <v>541</v>
      </c>
      <c r="M14" s="4">
        <v>541</v>
      </c>
      <c r="N14" s="4">
        <v>541</v>
      </c>
      <c r="O14" s="4">
        <v>541</v>
      </c>
      <c r="P14" s="4">
        <v>541</v>
      </c>
      <c r="Q14" s="4">
        <v>541</v>
      </c>
      <c r="R14" s="4">
        <v>541</v>
      </c>
      <c r="S14" s="4">
        <v>541</v>
      </c>
      <c r="T14" s="4">
        <v>541</v>
      </c>
      <c r="U14" s="4">
        <v>541</v>
      </c>
      <c r="V14" s="4">
        <v>541</v>
      </c>
      <c r="W14" s="4">
        <v>541</v>
      </c>
      <c r="X14" s="4">
        <v>541</v>
      </c>
      <c r="Y14" s="4">
        <v>541</v>
      </c>
      <c r="Z14" s="4">
        <v>541</v>
      </c>
      <c r="AA14" s="4">
        <v>541</v>
      </c>
    </row>
    <row r="15" spans="1:27" x14ac:dyDescent="0.3">
      <c r="A15" s="3">
        <v>9</v>
      </c>
      <c r="B15" s="4" t="s">
        <v>18</v>
      </c>
      <c r="C15" s="4" t="s">
        <v>8</v>
      </c>
      <c r="D15" s="4">
        <v>537</v>
      </c>
      <c r="E15" s="4">
        <v>537</v>
      </c>
      <c r="F15" s="4">
        <v>537</v>
      </c>
      <c r="G15" s="4">
        <v>537</v>
      </c>
      <c r="H15" s="4">
        <v>537</v>
      </c>
      <c r="I15" s="4">
        <v>537</v>
      </c>
      <c r="J15" s="4">
        <v>537</v>
      </c>
      <c r="K15" s="4">
        <v>537</v>
      </c>
      <c r="L15" s="4">
        <v>537</v>
      </c>
      <c r="M15" s="4">
        <v>537</v>
      </c>
      <c r="N15" s="4">
        <v>537</v>
      </c>
      <c r="O15" s="4">
        <v>537</v>
      </c>
      <c r="P15" s="4">
        <v>537</v>
      </c>
      <c r="Q15" s="4">
        <v>537</v>
      </c>
      <c r="R15" s="4">
        <v>537</v>
      </c>
      <c r="S15" s="4">
        <v>537</v>
      </c>
      <c r="T15" s="4">
        <v>537</v>
      </c>
      <c r="U15" s="4">
        <v>537</v>
      </c>
      <c r="V15" s="4">
        <v>537</v>
      </c>
      <c r="W15" s="4">
        <v>537</v>
      </c>
      <c r="X15" s="4">
        <v>537</v>
      </c>
      <c r="Y15" s="4">
        <v>537</v>
      </c>
      <c r="Z15" s="4">
        <v>537</v>
      </c>
      <c r="AA15" s="4">
        <v>537</v>
      </c>
    </row>
    <row r="16" spans="1:27" x14ac:dyDescent="0.3">
      <c r="A16" s="3">
        <v>10</v>
      </c>
      <c r="B16" s="4" t="s">
        <v>19</v>
      </c>
      <c r="C16" s="4" t="s">
        <v>8</v>
      </c>
      <c r="D16" s="4">
        <v>953</v>
      </c>
      <c r="E16" s="4">
        <v>953</v>
      </c>
      <c r="F16" s="4">
        <v>953</v>
      </c>
      <c r="G16" s="4">
        <v>953</v>
      </c>
      <c r="H16" s="4">
        <v>953</v>
      </c>
      <c r="I16" s="4">
        <v>953</v>
      </c>
      <c r="J16" s="4">
        <v>953</v>
      </c>
      <c r="K16" s="4">
        <v>953</v>
      </c>
      <c r="L16" s="4">
        <v>953</v>
      </c>
      <c r="M16" s="4">
        <v>953</v>
      </c>
      <c r="N16" s="4">
        <v>953</v>
      </c>
      <c r="O16" s="4">
        <v>953</v>
      </c>
      <c r="P16" s="4">
        <v>953</v>
      </c>
      <c r="Q16" s="4">
        <v>953</v>
      </c>
      <c r="R16" s="4">
        <v>953</v>
      </c>
      <c r="S16" s="4">
        <v>953</v>
      </c>
      <c r="T16" s="4">
        <v>953</v>
      </c>
      <c r="U16" s="4">
        <v>953</v>
      </c>
      <c r="V16" s="4">
        <v>953</v>
      </c>
      <c r="W16" s="4">
        <v>953</v>
      </c>
      <c r="X16" s="4">
        <v>953</v>
      </c>
      <c r="Y16" s="4">
        <v>953</v>
      </c>
      <c r="Z16" s="4">
        <v>953</v>
      </c>
      <c r="AA16" s="4">
        <v>953</v>
      </c>
    </row>
    <row r="17" spans="1:27" x14ac:dyDescent="0.3">
      <c r="A17" s="3">
        <v>11</v>
      </c>
      <c r="B17" s="4" t="s">
        <v>20</v>
      </c>
      <c r="C17" s="4" t="s">
        <v>12</v>
      </c>
      <c r="D17" s="4">
        <v>561</v>
      </c>
      <c r="E17" s="4">
        <v>561</v>
      </c>
      <c r="F17" s="4">
        <v>561</v>
      </c>
      <c r="G17" s="4">
        <v>561</v>
      </c>
      <c r="H17" s="4">
        <v>561</v>
      </c>
      <c r="I17" s="4">
        <v>561</v>
      </c>
      <c r="J17" s="4">
        <v>561</v>
      </c>
      <c r="K17" s="4">
        <v>561</v>
      </c>
      <c r="L17" s="4">
        <v>561</v>
      </c>
      <c r="M17" s="4">
        <v>561</v>
      </c>
      <c r="N17" s="4">
        <v>561</v>
      </c>
      <c r="O17" s="4">
        <v>561</v>
      </c>
      <c r="P17" s="4">
        <v>561</v>
      </c>
      <c r="Q17" s="4">
        <v>561</v>
      </c>
      <c r="R17" s="4">
        <v>561</v>
      </c>
      <c r="S17" s="4">
        <v>561</v>
      </c>
      <c r="T17" s="4">
        <v>561</v>
      </c>
      <c r="U17" s="4">
        <v>561</v>
      </c>
      <c r="V17" s="4">
        <v>561</v>
      </c>
      <c r="W17" s="4">
        <v>561</v>
      </c>
      <c r="X17" s="4">
        <v>561</v>
      </c>
      <c r="Y17" s="4">
        <v>561</v>
      </c>
      <c r="Z17" s="4">
        <v>561</v>
      </c>
      <c r="AA17" s="4">
        <v>561</v>
      </c>
    </row>
    <row r="18" spans="1:27" x14ac:dyDescent="0.3">
      <c r="A18" s="3">
        <v>12</v>
      </c>
      <c r="B18" s="4" t="s">
        <v>21</v>
      </c>
      <c r="C18" s="4" t="s">
        <v>10</v>
      </c>
      <c r="D18" s="4">
        <v>469</v>
      </c>
      <c r="E18" s="4">
        <v>469</v>
      </c>
      <c r="F18" s="4">
        <v>469</v>
      </c>
      <c r="G18" s="4">
        <v>469</v>
      </c>
      <c r="H18" s="4">
        <v>469</v>
      </c>
      <c r="I18" s="4">
        <v>469</v>
      </c>
      <c r="J18" s="4">
        <v>469</v>
      </c>
      <c r="K18" s="4">
        <v>469</v>
      </c>
      <c r="L18" s="4">
        <v>469</v>
      </c>
      <c r="M18" s="4">
        <v>469</v>
      </c>
      <c r="N18" s="4">
        <v>469</v>
      </c>
      <c r="O18" s="4">
        <v>469</v>
      </c>
      <c r="P18" s="4">
        <v>469</v>
      </c>
      <c r="Q18" s="4">
        <v>469</v>
      </c>
      <c r="R18" s="4">
        <v>469</v>
      </c>
      <c r="S18" s="4">
        <v>469</v>
      </c>
      <c r="T18" s="4">
        <v>469</v>
      </c>
      <c r="U18" s="4">
        <v>469</v>
      </c>
      <c r="V18" s="4">
        <v>469</v>
      </c>
      <c r="W18" s="4">
        <v>469</v>
      </c>
      <c r="X18" s="4">
        <v>469</v>
      </c>
      <c r="Y18" s="4">
        <v>469</v>
      </c>
      <c r="Z18" s="4">
        <v>469</v>
      </c>
      <c r="AA18" s="4">
        <v>469</v>
      </c>
    </row>
    <row r="19" spans="1:27" x14ac:dyDescent="0.3">
      <c r="A19" s="3">
        <v>13</v>
      </c>
      <c r="B19" s="4" t="s">
        <v>22</v>
      </c>
      <c r="C19" s="4" t="s">
        <v>12</v>
      </c>
      <c r="D19" s="4">
        <v>480</v>
      </c>
      <c r="E19" s="4">
        <v>480</v>
      </c>
      <c r="F19" s="4">
        <v>480</v>
      </c>
      <c r="G19" s="4">
        <v>480</v>
      </c>
      <c r="H19" s="4">
        <v>480</v>
      </c>
      <c r="I19" s="4">
        <v>480</v>
      </c>
      <c r="J19" s="4">
        <v>480</v>
      </c>
      <c r="K19" s="4">
        <v>480</v>
      </c>
      <c r="L19" s="4">
        <v>480</v>
      </c>
      <c r="M19" s="4">
        <v>480</v>
      </c>
      <c r="N19" s="4">
        <v>480</v>
      </c>
      <c r="O19" s="4">
        <v>480</v>
      </c>
      <c r="P19" s="4">
        <v>480</v>
      </c>
      <c r="Q19" s="4">
        <v>480</v>
      </c>
      <c r="R19" s="4">
        <v>480</v>
      </c>
      <c r="S19" s="4">
        <v>480</v>
      </c>
      <c r="T19" s="4">
        <v>480</v>
      </c>
      <c r="U19" s="4">
        <v>480</v>
      </c>
      <c r="V19" s="4">
        <v>480</v>
      </c>
      <c r="W19" s="4">
        <v>480</v>
      </c>
      <c r="X19" s="4">
        <v>480</v>
      </c>
      <c r="Y19" s="4">
        <v>480</v>
      </c>
      <c r="Z19" s="4">
        <v>480</v>
      </c>
      <c r="AA19" s="4">
        <v>480</v>
      </c>
    </row>
    <row r="20" spans="1:27" x14ac:dyDescent="0.3">
      <c r="A20" s="3">
        <v>14</v>
      </c>
      <c r="B20" s="4" t="s">
        <v>23</v>
      </c>
      <c r="C20" s="4" t="s">
        <v>10</v>
      </c>
      <c r="D20" s="4">
        <v>444</v>
      </c>
      <c r="E20" s="4">
        <v>444</v>
      </c>
      <c r="F20" s="4">
        <v>444</v>
      </c>
      <c r="G20" s="4">
        <v>444</v>
      </c>
      <c r="H20" s="4">
        <v>444</v>
      </c>
      <c r="I20" s="4">
        <v>444</v>
      </c>
      <c r="J20" s="4">
        <v>444</v>
      </c>
      <c r="K20" s="4">
        <v>444</v>
      </c>
      <c r="L20" s="4">
        <v>444</v>
      </c>
      <c r="M20" s="4">
        <v>444</v>
      </c>
      <c r="N20" s="4">
        <v>444</v>
      </c>
      <c r="O20" s="4">
        <v>444</v>
      </c>
      <c r="P20" s="4">
        <v>444</v>
      </c>
      <c r="Q20" s="4">
        <v>444</v>
      </c>
      <c r="R20" s="4">
        <v>444</v>
      </c>
      <c r="S20" s="4">
        <v>444</v>
      </c>
      <c r="T20" s="4">
        <v>444</v>
      </c>
      <c r="U20" s="4">
        <v>444</v>
      </c>
      <c r="V20" s="4">
        <v>444</v>
      </c>
      <c r="W20" s="4">
        <v>444</v>
      </c>
      <c r="X20" s="4">
        <v>444</v>
      </c>
      <c r="Y20" s="4">
        <v>444</v>
      </c>
      <c r="Z20" s="4">
        <v>444</v>
      </c>
      <c r="AA20" s="4">
        <v>444</v>
      </c>
    </row>
    <row r="21" spans="1:27" x14ac:dyDescent="0.3">
      <c r="A21" s="3">
        <v>15</v>
      </c>
      <c r="B21" s="4" t="s">
        <v>24</v>
      </c>
      <c r="C21" s="4" t="s">
        <v>12</v>
      </c>
      <c r="D21" s="4">
        <v>578</v>
      </c>
      <c r="E21" s="4">
        <v>578</v>
      </c>
      <c r="F21" s="4">
        <v>578</v>
      </c>
      <c r="G21" s="4">
        <v>578</v>
      </c>
      <c r="H21" s="4">
        <v>578</v>
      </c>
      <c r="I21" s="4">
        <v>578</v>
      </c>
      <c r="J21" s="4">
        <v>578</v>
      </c>
      <c r="K21" s="4">
        <v>578</v>
      </c>
      <c r="L21" s="4">
        <v>578</v>
      </c>
      <c r="M21" s="4">
        <v>578</v>
      </c>
      <c r="N21" s="4">
        <v>578</v>
      </c>
      <c r="O21" s="4">
        <v>578</v>
      </c>
      <c r="P21" s="4">
        <v>578</v>
      </c>
      <c r="Q21" s="4">
        <v>578</v>
      </c>
      <c r="R21" s="4">
        <v>578</v>
      </c>
      <c r="S21" s="4">
        <v>578</v>
      </c>
      <c r="T21" s="4">
        <v>578</v>
      </c>
      <c r="U21" s="4">
        <v>578</v>
      </c>
      <c r="V21" s="4">
        <v>578</v>
      </c>
      <c r="W21" s="4">
        <v>578</v>
      </c>
      <c r="X21" s="4">
        <v>578</v>
      </c>
      <c r="Y21" s="4">
        <v>578</v>
      </c>
      <c r="Z21" s="4">
        <v>578</v>
      </c>
      <c r="AA21" s="4">
        <v>578</v>
      </c>
    </row>
    <row r="22" spans="1:27" x14ac:dyDescent="0.3">
      <c r="A22" s="3">
        <v>16</v>
      </c>
      <c r="B22" s="4" t="s">
        <v>25</v>
      </c>
      <c r="C22" s="4" t="s">
        <v>12</v>
      </c>
      <c r="D22" s="4">
        <v>647</v>
      </c>
      <c r="E22" s="4">
        <v>647</v>
      </c>
      <c r="F22" s="4">
        <v>647</v>
      </c>
      <c r="G22" s="4">
        <v>647</v>
      </c>
      <c r="H22" s="4">
        <v>647</v>
      </c>
      <c r="I22" s="4">
        <v>647</v>
      </c>
      <c r="J22" s="4">
        <v>647</v>
      </c>
      <c r="K22" s="4">
        <v>647</v>
      </c>
      <c r="L22" s="4">
        <v>647</v>
      </c>
      <c r="M22" s="4">
        <v>647</v>
      </c>
      <c r="N22" s="4">
        <v>647</v>
      </c>
      <c r="O22" s="4">
        <v>647</v>
      </c>
      <c r="P22" s="4">
        <v>647</v>
      </c>
      <c r="Q22" s="4">
        <v>647</v>
      </c>
      <c r="R22" s="4">
        <v>647</v>
      </c>
      <c r="S22" s="4">
        <v>647</v>
      </c>
      <c r="T22" s="4">
        <v>647</v>
      </c>
      <c r="U22" s="4">
        <v>647</v>
      </c>
      <c r="V22" s="4">
        <v>647</v>
      </c>
      <c r="W22" s="4">
        <v>647</v>
      </c>
      <c r="X22" s="4">
        <v>647</v>
      </c>
      <c r="Y22" s="4">
        <v>647</v>
      </c>
      <c r="Z22" s="4">
        <v>647</v>
      </c>
      <c r="AA22" s="4">
        <v>647</v>
      </c>
    </row>
    <row r="23" spans="1:27" x14ac:dyDescent="0.3">
      <c r="A23" s="3">
        <v>17</v>
      </c>
      <c r="B23" s="4" t="s">
        <v>26</v>
      </c>
      <c r="C23" s="4" t="s">
        <v>10</v>
      </c>
      <c r="D23" s="4">
        <v>432</v>
      </c>
      <c r="E23" s="4">
        <v>432</v>
      </c>
      <c r="F23" s="4">
        <v>432</v>
      </c>
      <c r="G23" s="4">
        <v>432</v>
      </c>
      <c r="H23" s="4">
        <v>432</v>
      </c>
      <c r="I23" s="4">
        <v>432</v>
      </c>
      <c r="J23" s="4">
        <v>432</v>
      </c>
      <c r="K23" s="4">
        <v>432</v>
      </c>
      <c r="L23" s="4">
        <v>432</v>
      </c>
      <c r="M23" s="4">
        <v>432</v>
      </c>
      <c r="N23" s="4">
        <v>432</v>
      </c>
      <c r="O23" s="4">
        <v>432</v>
      </c>
      <c r="P23" s="4">
        <v>432</v>
      </c>
      <c r="Q23" s="4">
        <v>432</v>
      </c>
      <c r="R23" s="4">
        <v>432</v>
      </c>
      <c r="S23" s="4">
        <v>432</v>
      </c>
      <c r="T23" s="4">
        <v>432</v>
      </c>
      <c r="U23" s="4">
        <v>432</v>
      </c>
      <c r="V23" s="4">
        <v>432</v>
      </c>
      <c r="W23" s="4">
        <v>432</v>
      </c>
      <c r="X23" s="4">
        <v>432</v>
      </c>
      <c r="Y23" s="4">
        <v>432</v>
      </c>
      <c r="Z23" s="4">
        <v>432</v>
      </c>
      <c r="AA23" s="4">
        <v>432</v>
      </c>
    </row>
    <row r="24" spans="1:27" x14ac:dyDescent="0.3">
      <c r="A24" s="3">
        <v>18</v>
      </c>
      <c r="B24" s="4" t="s">
        <v>27</v>
      </c>
      <c r="C24" s="4" t="s">
        <v>10</v>
      </c>
      <c r="D24" s="4">
        <v>348</v>
      </c>
      <c r="E24" s="4">
        <v>348</v>
      </c>
      <c r="F24" s="4">
        <v>348</v>
      </c>
      <c r="G24" s="4">
        <v>348</v>
      </c>
      <c r="H24" s="4">
        <v>348</v>
      </c>
      <c r="I24" s="4">
        <v>348</v>
      </c>
      <c r="J24" s="4">
        <v>348</v>
      </c>
      <c r="K24" s="4">
        <v>348</v>
      </c>
      <c r="L24" s="4">
        <v>348</v>
      </c>
      <c r="M24" s="4">
        <v>348</v>
      </c>
      <c r="N24" s="4">
        <v>348</v>
      </c>
      <c r="O24" s="4">
        <v>348</v>
      </c>
      <c r="P24" s="4">
        <v>348</v>
      </c>
      <c r="Q24" s="4">
        <v>348</v>
      </c>
      <c r="R24" s="4">
        <v>348</v>
      </c>
      <c r="S24" s="4">
        <v>348</v>
      </c>
      <c r="T24" s="4">
        <v>348</v>
      </c>
      <c r="U24" s="4">
        <v>348</v>
      </c>
      <c r="V24" s="4">
        <v>348</v>
      </c>
      <c r="W24" s="4">
        <v>348</v>
      </c>
      <c r="X24" s="4">
        <v>348</v>
      </c>
      <c r="Y24" s="4">
        <v>348</v>
      </c>
      <c r="Z24" s="4">
        <v>348</v>
      </c>
      <c r="AA24" s="4">
        <v>348</v>
      </c>
    </row>
    <row r="25" spans="1:27" x14ac:dyDescent="0.3">
      <c r="A25" s="3">
        <v>19</v>
      </c>
      <c r="B25" s="4" t="s">
        <v>28</v>
      </c>
      <c r="C25" s="4" t="s">
        <v>8</v>
      </c>
      <c r="D25" s="4">
        <v>475</v>
      </c>
      <c r="E25" s="4">
        <v>475</v>
      </c>
      <c r="F25" s="4">
        <v>475</v>
      </c>
      <c r="G25" s="4">
        <v>475</v>
      </c>
      <c r="H25" s="4">
        <v>475</v>
      </c>
      <c r="I25" s="4">
        <v>475</v>
      </c>
      <c r="J25" s="4">
        <v>475</v>
      </c>
      <c r="K25" s="4">
        <v>475</v>
      </c>
      <c r="L25" s="4">
        <v>475</v>
      </c>
      <c r="M25" s="4">
        <v>475</v>
      </c>
      <c r="N25" s="4">
        <v>475</v>
      </c>
      <c r="O25" s="4"/>
      <c r="P25" s="4"/>
      <c r="Q25" s="4">
        <v>475</v>
      </c>
      <c r="R25" s="4">
        <v>475</v>
      </c>
      <c r="S25" s="4"/>
      <c r="T25" s="4">
        <v>475</v>
      </c>
      <c r="U25" s="4">
        <v>475</v>
      </c>
      <c r="V25" s="4"/>
      <c r="W25" s="4"/>
      <c r="X25" s="4">
        <v>475</v>
      </c>
      <c r="Y25" s="4"/>
      <c r="Z25" s="4">
        <v>475</v>
      </c>
      <c r="AA25" s="4">
        <v>475</v>
      </c>
    </row>
    <row r="26" spans="1:27" x14ac:dyDescent="0.3">
      <c r="A26" s="3">
        <v>20</v>
      </c>
      <c r="B26" s="4" t="s">
        <v>29</v>
      </c>
      <c r="C26" s="4" t="s">
        <v>8</v>
      </c>
      <c r="D26" s="4">
        <v>303</v>
      </c>
      <c r="E26" s="4">
        <v>303</v>
      </c>
      <c r="F26" s="4">
        <v>303</v>
      </c>
      <c r="G26" s="4">
        <v>303</v>
      </c>
      <c r="H26" s="4">
        <v>303</v>
      </c>
      <c r="I26" s="4">
        <v>303</v>
      </c>
      <c r="J26" s="4">
        <v>303</v>
      </c>
      <c r="K26" s="4">
        <v>303</v>
      </c>
      <c r="L26" s="4">
        <v>303</v>
      </c>
      <c r="M26" s="4">
        <v>303</v>
      </c>
      <c r="N26" s="4">
        <v>303</v>
      </c>
      <c r="O26" s="4">
        <v>303</v>
      </c>
      <c r="P26" s="4">
        <v>303</v>
      </c>
      <c r="Q26" s="4">
        <v>303</v>
      </c>
      <c r="R26" s="4">
        <v>303</v>
      </c>
      <c r="S26" s="4">
        <v>303</v>
      </c>
      <c r="T26" s="4">
        <v>303</v>
      </c>
      <c r="U26" s="4">
        <v>303</v>
      </c>
      <c r="V26" s="4">
        <v>303</v>
      </c>
      <c r="W26" s="4">
        <v>303</v>
      </c>
      <c r="X26" s="4">
        <v>303</v>
      </c>
      <c r="Y26" s="4">
        <v>303</v>
      </c>
      <c r="Z26" s="4">
        <v>303</v>
      </c>
      <c r="AA26" s="4">
        <v>303</v>
      </c>
    </row>
    <row r="27" spans="1:27" x14ac:dyDescent="0.3">
      <c r="A27" s="3">
        <v>21</v>
      </c>
      <c r="B27" s="4" t="s">
        <v>30</v>
      </c>
      <c r="C27" s="4" t="s">
        <v>8</v>
      </c>
      <c r="D27" s="4">
        <v>489</v>
      </c>
      <c r="E27" s="4">
        <v>489</v>
      </c>
      <c r="F27" s="4">
        <v>489</v>
      </c>
      <c r="G27" s="4">
        <v>489</v>
      </c>
      <c r="H27" s="4">
        <v>489</v>
      </c>
      <c r="I27" s="4">
        <v>489</v>
      </c>
      <c r="J27" s="4">
        <v>489</v>
      </c>
      <c r="K27" s="4">
        <v>489</v>
      </c>
      <c r="L27" s="4">
        <v>489</v>
      </c>
      <c r="M27" s="4">
        <v>489</v>
      </c>
      <c r="N27" s="4">
        <v>489</v>
      </c>
      <c r="O27" s="4">
        <v>489</v>
      </c>
      <c r="P27" s="4">
        <v>489</v>
      </c>
      <c r="Q27" s="4">
        <v>489</v>
      </c>
      <c r="R27" s="4">
        <v>489</v>
      </c>
      <c r="S27" s="4">
        <v>489</v>
      </c>
      <c r="T27" s="4">
        <v>489</v>
      </c>
      <c r="U27" s="4">
        <v>489</v>
      </c>
      <c r="V27" s="4">
        <v>489</v>
      </c>
      <c r="W27" s="4">
        <v>489</v>
      </c>
      <c r="X27" s="4">
        <v>489</v>
      </c>
      <c r="Y27" s="4">
        <v>489</v>
      </c>
      <c r="Z27" s="4">
        <v>489</v>
      </c>
      <c r="AA27" s="4">
        <v>489</v>
      </c>
    </row>
    <row r="28" spans="1:27" x14ac:dyDescent="0.3">
      <c r="A28" s="3">
        <v>22</v>
      </c>
      <c r="B28" s="4" t="s">
        <v>31</v>
      </c>
      <c r="C28" s="4" t="s">
        <v>8</v>
      </c>
      <c r="D28" s="4">
        <v>331</v>
      </c>
      <c r="E28" s="4">
        <v>331</v>
      </c>
      <c r="F28" s="4">
        <v>331</v>
      </c>
      <c r="G28" s="4">
        <v>331</v>
      </c>
      <c r="H28" s="4">
        <v>331</v>
      </c>
      <c r="I28" s="4">
        <v>331</v>
      </c>
      <c r="J28" s="4">
        <v>331</v>
      </c>
      <c r="K28" s="4">
        <v>331</v>
      </c>
      <c r="L28" s="4">
        <v>331</v>
      </c>
      <c r="M28" s="4">
        <v>331</v>
      </c>
      <c r="N28" s="4">
        <v>331</v>
      </c>
      <c r="O28" s="4">
        <v>331</v>
      </c>
      <c r="P28" s="4">
        <v>331</v>
      </c>
      <c r="Q28" s="4">
        <v>331</v>
      </c>
      <c r="R28" s="4">
        <v>331</v>
      </c>
      <c r="S28" s="4">
        <v>331</v>
      </c>
      <c r="T28" s="4">
        <v>331</v>
      </c>
      <c r="U28" s="4">
        <v>331</v>
      </c>
      <c r="V28" s="4">
        <v>331</v>
      </c>
      <c r="W28" s="4">
        <v>331</v>
      </c>
      <c r="X28" s="4">
        <v>331</v>
      </c>
      <c r="Y28" s="4">
        <v>331</v>
      </c>
      <c r="Z28" s="4">
        <v>331</v>
      </c>
      <c r="AA28" s="4">
        <v>331</v>
      </c>
    </row>
    <row r="29" spans="1:27" x14ac:dyDescent="0.3">
      <c r="A29" s="3">
        <v>23</v>
      </c>
      <c r="B29" s="4" t="s">
        <v>32</v>
      </c>
      <c r="C29" s="4" t="s">
        <v>10</v>
      </c>
      <c r="D29" s="4"/>
      <c r="E29" s="4">
        <v>379</v>
      </c>
      <c r="F29" s="4">
        <v>379</v>
      </c>
      <c r="G29" s="4">
        <v>379</v>
      </c>
      <c r="H29" s="4">
        <v>379</v>
      </c>
      <c r="I29" s="4"/>
      <c r="J29" s="4"/>
      <c r="K29" s="4">
        <v>379</v>
      </c>
      <c r="L29" s="4">
        <v>379</v>
      </c>
      <c r="M29" s="4">
        <v>379</v>
      </c>
      <c r="N29" s="4"/>
      <c r="O29" s="4">
        <v>379</v>
      </c>
      <c r="P29" s="4">
        <v>379</v>
      </c>
      <c r="Q29" s="4"/>
      <c r="R29" s="4"/>
      <c r="S29" s="4">
        <v>379</v>
      </c>
      <c r="T29" s="4">
        <v>379</v>
      </c>
      <c r="U29" s="4">
        <v>379</v>
      </c>
      <c r="V29" s="4">
        <v>379</v>
      </c>
      <c r="W29" s="4">
        <v>379</v>
      </c>
      <c r="X29" s="4">
        <v>379</v>
      </c>
      <c r="Y29" s="4">
        <v>379</v>
      </c>
      <c r="Z29" s="4">
        <v>379</v>
      </c>
      <c r="AA29" s="4"/>
    </row>
    <row r="30" spans="1:27" x14ac:dyDescent="0.3">
      <c r="A30" s="3">
        <v>24</v>
      </c>
      <c r="B30" s="4" t="s">
        <v>33</v>
      </c>
      <c r="C30" s="4" t="s">
        <v>10</v>
      </c>
      <c r="D30" s="4">
        <v>135</v>
      </c>
      <c r="E30" s="4">
        <v>135</v>
      </c>
      <c r="F30" s="4">
        <v>135</v>
      </c>
      <c r="G30" s="4">
        <v>135</v>
      </c>
      <c r="H30" s="4">
        <v>135</v>
      </c>
      <c r="I30" s="4">
        <v>135</v>
      </c>
      <c r="J30" s="4">
        <v>135</v>
      </c>
      <c r="K30" s="4">
        <v>135</v>
      </c>
      <c r="L30" s="4">
        <v>135</v>
      </c>
      <c r="M30" s="4">
        <v>135</v>
      </c>
      <c r="N30" s="4">
        <v>135</v>
      </c>
      <c r="O30" s="4">
        <v>135</v>
      </c>
      <c r="P30" s="4">
        <v>135</v>
      </c>
      <c r="Q30" s="4">
        <v>135</v>
      </c>
      <c r="R30" s="4">
        <v>135</v>
      </c>
      <c r="S30" s="4">
        <v>135</v>
      </c>
      <c r="T30" s="4">
        <v>135</v>
      </c>
      <c r="U30" s="4">
        <v>135</v>
      </c>
      <c r="V30" s="4">
        <v>135</v>
      </c>
      <c r="W30" s="4">
        <v>135</v>
      </c>
      <c r="X30" s="4">
        <v>135</v>
      </c>
      <c r="Y30" s="4">
        <v>135</v>
      </c>
      <c r="Z30" s="4">
        <v>135</v>
      </c>
      <c r="AA30" s="4">
        <v>135</v>
      </c>
    </row>
    <row r="31" spans="1:27" x14ac:dyDescent="0.3">
      <c r="A31" s="3">
        <v>25</v>
      </c>
      <c r="B31" s="4" t="s">
        <v>34</v>
      </c>
      <c r="C31" s="4" t="s">
        <v>10</v>
      </c>
      <c r="D31" s="4">
        <v>192</v>
      </c>
      <c r="E31" s="4">
        <v>192</v>
      </c>
      <c r="F31" s="4">
        <v>192</v>
      </c>
      <c r="G31" s="4">
        <v>192</v>
      </c>
      <c r="H31" s="4">
        <v>192</v>
      </c>
      <c r="I31" s="4">
        <v>192</v>
      </c>
      <c r="J31" s="4">
        <v>192</v>
      </c>
      <c r="K31" s="4">
        <v>192</v>
      </c>
      <c r="L31" s="4">
        <v>192</v>
      </c>
      <c r="M31" s="4">
        <v>192</v>
      </c>
      <c r="N31" s="4">
        <v>192</v>
      </c>
      <c r="O31" s="4">
        <v>192</v>
      </c>
      <c r="P31" s="4">
        <v>192</v>
      </c>
      <c r="Q31" s="4">
        <v>192</v>
      </c>
      <c r="R31" s="4">
        <v>192</v>
      </c>
      <c r="S31" s="4">
        <v>192</v>
      </c>
      <c r="T31" s="4">
        <v>192</v>
      </c>
      <c r="U31" s="4">
        <v>192</v>
      </c>
      <c r="V31" s="4">
        <v>192</v>
      </c>
      <c r="W31" s="4">
        <v>192</v>
      </c>
      <c r="X31" s="4">
        <v>192</v>
      </c>
      <c r="Y31" s="4">
        <v>192</v>
      </c>
      <c r="Z31" s="4">
        <v>192</v>
      </c>
      <c r="AA31" s="4">
        <v>192</v>
      </c>
    </row>
    <row r="32" spans="1:27" x14ac:dyDescent="0.3">
      <c r="A32" s="3">
        <v>26</v>
      </c>
      <c r="B32" s="4" t="s">
        <v>35</v>
      </c>
      <c r="C32" s="4" t="s">
        <v>10</v>
      </c>
      <c r="D32" s="4">
        <v>159</v>
      </c>
      <c r="E32" s="4">
        <v>159</v>
      </c>
      <c r="F32" s="4">
        <v>159</v>
      </c>
      <c r="G32" s="4">
        <v>159</v>
      </c>
      <c r="H32" s="4">
        <v>159</v>
      </c>
      <c r="I32" s="4">
        <v>159</v>
      </c>
      <c r="J32" s="4">
        <v>159</v>
      </c>
      <c r="K32" s="4">
        <v>159</v>
      </c>
      <c r="L32" s="4">
        <v>159</v>
      </c>
      <c r="M32" s="4">
        <v>159</v>
      </c>
      <c r="N32" s="4">
        <v>159</v>
      </c>
      <c r="O32" s="4">
        <v>159</v>
      </c>
      <c r="P32" s="4">
        <v>159</v>
      </c>
      <c r="Q32" s="4">
        <v>159</v>
      </c>
      <c r="R32" s="4">
        <v>159</v>
      </c>
      <c r="S32" s="4">
        <v>159</v>
      </c>
      <c r="T32" s="4">
        <v>159</v>
      </c>
      <c r="U32" s="4">
        <v>159</v>
      </c>
      <c r="V32" s="4">
        <v>159</v>
      </c>
      <c r="W32" s="4">
        <v>159</v>
      </c>
      <c r="X32" s="4">
        <v>159</v>
      </c>
      <c r="Y32" s="4">
        <v>159</v>
      </c>
      <c r="Z32" s="4">
        <v>159</v>
      </c>
      <c r="AA32" s="4">
        <v>159</v>
      </c>
    </row>
    <row r="33" spans="1:27" x14ac:dyDescent="0.3">
      <c r="A33" s="3">
        <v>27</v>
      </c>
      <c r="B33" s="4" t="s">
        <v>36</v>
      </c>
      <c r="C33" s="4" t="s">
        <v>10</v>
      </c>
      <c r="D33" s="4">
        <v>902</v>
      </c>
      <c r="E33" s="4">
        <v>902</v>
      </c>
      <c r="F33" s="4">
        <v>902</v>
      </c>
      <c r="G33" s="4">
        <v>902</v>
      </c>
      <c r="H33" s="4">
        <v>902</v>
      </c>
      <c r="I33" s="4">
        <v>902</v>
      </c>
      <c r="J33" s="4">
        <v>902</v>
      </c>
      <c r="K33" s="4">
        <v>902</v>
      </c>
      <c r="L33" s="4">
        <v>902</v>
      </c>
      <c r="M33" s="4">
        <v>902</v>
      </c>
      <c r="N33" s="4">
        <v>902</v>
      </c>
      <c r="O33" s="4">
        <v>902</v>
      </c>
      <c r="P33" s="4">
        <v>902</v>
      </c>
      <c r="Q33" s="4">
        <v>902</v>
      </c>
      <c r="R33" s="4">
        <v>902</v>
      </c>
      <c r="S33" s="4">
        <v>902</v>
      </c>
      <c r="T33" s="4">
        <v>902</v>
      </c>
      <c r="U33" s="4">
        <v>902</v>
      </c>
      <c r="V33" s="4">
        <v>902</v>
      </c>
      <c r="W33" s="4">
        <v>902</v>
      </c>
      <c r="X33" s="4">
        <v>902</v>
      </c>
      <c r="Y33" s="4">
        <v>902</v>
      </c>
      <c r="Z33" s="4">
        <v>902</v>
      </c>
      <c r="AA33" s="4">
        <v>902</v>
      </c>
    </row>
    <row r="34" spans="1:27" x14ac:dyDescent="0.3">
      <c r="A34" s="3">
        <v>28</v>
      </c>
      <c r="B34" s="4" t="s">
        <v>37</v>
      </c>
      <c r="C34" s="4" t="s">
        <v>10</v>
      </c>
      <c r="D34" s="4">
        <v>141</v>
      </c>
      <c r="E34" s="4">
        <v>141</v>
      </c>
      <c r="F34" s="4">
        <v>141</v>
      </c>
      <c r="G34" s="4">
        <v>141</v>
      </c>
      <c r="H34" s="4">
        <v>141</v>
      </c>
      <c r="I34" s="4">
        <v>141</v>
      </c>
      <c r="J34" s="4">
        <v>141</v>
      </c>
      <c r="K34" s="4">
        <v>141</v>
      </c>
      <c r="L34" s="4">
        <v>141</v>
      </c>
      <c r="M34" s="4">
        <v>141</v>
      </c>
      <c r="N34" s="4">
        <v>141</v>
      </c>
      <c r="O34" s="4">
        <v>141</v>
      </c>
      <c r="P34" s="4">
        <v>141</v>
      </c>
      <c r="Q34" s="4">
        <v>141</v>
      </c>
      <c r="R34" s="4">
        <v>141</v>
      </c>
      <c r="S34" s="4">
        <v>141</v>
      </c>
      <c r="T34" s="4">
        <v>141</v>
      </c>
      <c r="U34" s="4">
        <v>141</v>
      </c>
      <c r="V34" s="4">
        <v>141</v>
      </c>
      <c r="W34" s="4">
        <v>141</v>
      </c>
      <c r="X34" s="4">
        <v>141</v>
      </c>
      <c r="Y34" s="4">
        <v>141</v>
      </c>
      <c r="Z34" s="4">
        <v>141</v>
      </c>
      <c r="AA34" s="4">
        <v>141</v>
      </c>
    </row>
    <row r="35" spans="1:27" x14ac:dyDescent="0.3">
      <c r="A35" s="3">
        <v>29</v>
      </c>
      <c r="B35" s="4" t="s">
        <v>38</v>
      </c>
      <c r="C35" s="4" t="s">
        <v>12</v>
      </c>
      <c r="D35" s="4">
        <v>138</v>
      </c>
      <c r="E35" s="4">
        <v>138</v>
      </c>
      <c r="F35" s="4">
        <v>138</v>
      </c>
      <c r="G35" s="4">
        <v>138</v>
      </c>
      <c r="H35" s="4">
        <v>138</v>
      </c>
      <c r="I35" s="4">
        <v>138</v>
      </c>
      <c r="J35" s="4">
        <v>138</v>
      </c>
      <c r="K35" s="4">
        <v>138</v>
      </c>
      <c r="L35" s="4">
        <v>138</v>
      </c>
      <c r="M35" s="4">
        <v>138</v>
      </c>
      <c r="N35" s="4">
        <v>138</v>
      </c>
      <c r="O35" s="4">
        <v>138</v>
      </c>
      <c r="P35" s="4">
        <v>138</v>
      </c>
      <c r="Q35" s="4">
        <v>138</v>
      </c>
      <c r="R35" s="4">
        <v>138</v>
      </c>
      <c r="S35" s="4">
        <v>138</v>
      </c>
      <c r="T35" s="4">
        <v>138</v>
      </c>
      <c r="U35" s="4">
        <v>138</v>
      </c>
      <c r="V35" s="4">
        <v>138</v>
      </c>
      <c r="W35" s="4">
        <v>138</v>
      </c>
      <c r="X35" s="4">
        <v>138</v>
      </c>
      <c r="Y35" s="4">
        <v>138</v>
      </c>
      <c r="Z35" s="4">
        <v>138</v>
      </c>
      <c r="AA35" s="4">
        <v>138</v>
      </c>
    </row>
    <row r="36" spans="1:27" x14ac:dyDescent="0.3">
      <c r="A36" s="3">
        <v>30</v>
      </c>
      <c r="B36" s="4" t="s">
        <v>39</v>
      </c>
      <c r="C36" s="4" t="s">
        <v>12</v>
      </c>
      <c r="D36" s="4">
        <v>133</v>
      </c>
      <c r="E36" s="4">
        <v>133</v>
      </c>
      <c r="F36" s="4">
        <v>133</v>
      </c>
      <c r="G36" s="4">
        <v>133</v>
      </c>
      <c r="H36" s="4">
        <v>133</v>
      </c>
      <c r="I36" s="4">
        <v>133</v>
      </c>
      <c r="J36" s="4">
        <v>133</v>
      </c>
      <c r="K36" s="4"/>
      <c r="L36" s="4">
        <v>133</v>
      </c>
      <c r="M36" s="4"/>
      <c r="N36" s="4"/>
      <c r="O36" s="4">
        <v>133</v>
      </c>
      <c r="P36" s="4">
        <v>133</v>
      </c>
      <c r="Q36" s="4">
        <v>133</v>
      </c>
      <c r="R36" s="4">
        <v>133</v>
      </c>
      <c r="S36" s="4">
        <v>133</v>
      </c>
      <c r="T36" s="4">
        <v>133</v>
      </c>
      <c r="U36" s="4">
        <v>133</v>
      </c>
      <c r="V36" s="4">
        <v>133</v>
      </c>
      <c r="W36" s="4">
        <v>133</v>
      </c>
      <c r="X36" s="4">
        <v>133</v>
      </c>
      <c r="Y36" s="4">
        <v>133</v>
      </c>
      <c r="Z36" s="4">
        <v>133</v>
      </c>
      <c r="AA36" s="4">
        <v>133</v>
      </c>
    </row>
    <row r="37" spans="1:27" x14ac:dyDescent="0.3">
      <c r="A37" s="3">
        <v>31</v>
      </c>
      <c r="B37" s="4" t="s">
        <v>40</v>
      </c>
      <c r="C37" s="4" t="s">
        <v>12</v>
      </c>
      <c r="D37" s="4">
        <v>98</v>
      </c>
      <c r="E37" s="4">
        <v>98</v>
      </c>
      <c r="F37" s="4">
        <v>98</v>
      </c>
      <c r="G37" s="4">
        <v>98</v>
      </c>
      <c r="H37" s="4">
        <v>98</v>
      </c>
      <c r="I37" s="4">
        <v>98</v>
      </c>
      <c r="J37" s="4">
        <v>98</v>
      </c>
      <c r="K37" s="4">
        <v>98</v>
      </c>
      <c r="L37" s="4">
        <v>98</v>
      </c>
      <c r="M37" s="4">
        <v>98</v>
      </c>
      <c r="N37" s="4">
        <v>98</v>
      </c>
      <c r="O37" s="4">
        <v>98</v>
      </c>
      <c r="P37" s="4">
        <v>98</v>
      </c>
      <c r="Q37" s="4">
        <v>98</v>
      </c>
      <c r="R37" s="4">
        <v>98</v>
      </c>
      <c r="S37" s="4">
        <v>98</v>
      </c>
      <c r="T37" s="4">
        <v>98</v>
      </c>
      <c r="U37" s="4">
        <v>98</v>
      </c>
      <c r="V37" s="4">
        <v>98</v>
      </c>
      <c r="W37" s="4">
        <v>98</v>
      </c>
      <c r="X37" s="4">
        <v>98</v>
      </c>
      <c r="Y37" s="4">
        <v>98</v>
      </c>
      <c r="Z37" s="4">
        <v>98</v>
      </c>
      <c r="AA37" s="4">
        <v>98</v>
      </c>
    </row>
    <row r="38" spans="1:27" x14ac:dyDescent="0.3">
      <c r="A38" s="3">
        <v>32</v>
      </c>
      <c r="B38" s="4" t="s">
        <v>41</v>
      </c>
      <c r="C38" s="4" t="s">
        <v>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>
        <v>3</v>
      </c>
      <c r="P38" s="4">
        <v>3</v>
      </c>
      <c r="Q38" s="4"/>
      <c r="R38" s="4"/>
      <c r="S38" s="4">
        <v>3</v>
      </c>
      <c r="T38" s="4"/>
      <c r="U38" s="4"/>
      <c r="V38" s="4">
        <v>3</v>
      </c>
      <c r="W38" s="4">
        <v>3</v>
      </c>
      <c r="X38" s="4"/>
      <c r="Y38" s="4">
        <v>3</v>
      </c>
      <c r="Z38" s="4"/>
      <c r="AA38" s="4"/>
    </row>
    <row r="39" spans="1:27" x14ac:dyDescent="0.3">
      <c r="A39" s="3">
        <v>33</v>
      </c>
      <c r="B39" s="4" t="s">
        <v>42</v>
      </c>
      <c r="C39" s="4" t="s">
        <v>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v>2</v>
      </c>
      <c r="P39" s="4"/>
      <c r="Q39" s="4"/>
      <c r="R39" s="4"/>
      <c r="S39" s="4">
        <v>2</v>
      </c>
      <c r="T39" s="4"/>
      <c r="U39" s="4"/>
      <c r="V39" s="4">
        <v>2</v>
      </c>
      <c r="W39" s="4">
        <v>2</v>
      </c>
      <c r="X39" s="4"/>
      <c r="Y39" s="4"/>
      <c r="Z39" s="4"/>
      <c r="AA39" s="4"/>
    </row>
    <row r="40" spans="1:27" x14ac:dyDescent="0.3">
      <c r="A40" s="3">
        <v>34</v>
      </c>
      <c r="B40" s="4" t="s">
        <v>43</v>
      </c>
      <c r="C40" s="4" t="s">
        <v>10</v>
      </c>
      <c r="D40" s="4">
        <v>50</v>
      </c>
      <c r="E40" s="4">
        <v>50</v>
      </c>
      <c r="F40" s="4">
        <v>50</v>
      </c>
      <c r="G40" s="4">
        <v>50</v>
      </c>
      <c r="H40" s="4">
        <v>50</v>
      </c>
      <c r="I40" s="4">
        <v>50</v>
      </c>
      <c r="J40" s="4">
        <v>50</v>
      </c>
      <c r="K40" s="4">
        <v>50</v>
      </c>
      <c r="L40" s="4">
        <v>50</v>
      </c>
      <c r="M40" s="4">
        <v>50</v>
      </c>
      <c r="N40" s="4">
        <v>50</v>
      </c>
      <c r="O40" s="4">
        <v>50</v>
      </c>
      <c r="P40" s="4">
        <v>50</v>
      </c>
      <c r="Q40" s="4">
        <v>50</v>
      </c>
      <c r="R40" s="4">
        <v>50</v>
      </c>
      <c r="S40" s="4">
        <v>50</v>
      </c>
      <c r="T40" s="4">
        <v>50</v>
      </c>
      <c r="U40" s="4">
        <v>50</v>
      </c>
      <c r="V40" s="4">
        <v>50</v>
      </c>
      <c r="W40" s="4">
        <v>50</v>
      </c>
      <c r="X40" s="4">
        <v>50</v>
      </c>
      <c r="Y40" s="4">
        <v>50</v>
      </c>
      <c r="Z40" s="4">
        <v>50</v>
      </c>
      <c r="AA40" s="4">
        <v>50</v>
      </c>
    </row>
    <row r="41" spans="1:27" x14ac:dyDescent="0.3">
      <c r="A41" s="3">
        <v>35</v>
      </c>
      <c r="B41" s="4" t="s">
        <v>44</v>
      </c>
      <c r="C41" s="4" t="s">
        <v>10</v>
      </c>
      <c r="D41" s="4"/>
      <c r="E41" s="4">
        <v>1</v>
      </c>
      <c r="F41" s="4"/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/>
      <c r="M41" s="4">
        <v>1</v>
      </c>
      <c r="N41" s="4">
        <v>1</v>
      </c>
      <c r="O41" s="4"/>
      <c r="P41" s="4">
        <v>1</v>
      </c>
      <c r="Q41" s="4"/>
      <c r="R41" s="4">
        <v>1</v>
      </c>
      <c r="S41" s="4">
        <v>1</v>
      </c>
      <c r="T41" s="4">
        <v>1</v>
      </c>
      <c r="U41" s="4"/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/>
    </row>
    <row r="42" spans="1:27" x14ac:dyDescent="0.3">
      <c r="A42" s="3">
        <v>36</v>
      </c>
      <c r="B42" s="4" t="s">
        <v>45</v>
      </c>
      <c r="C42" s="4" t="s">
        <v>12</v>
      </c>
      <c r="D42" s="4">
        <v>2</v>
      </c>
      <c r="E42" s="4"/>
      <c r="F42" s="4"/>
      <c r="G42" s="4"/>
      <c r="H42" s="4">
        <v>2</v>
      </c>
      <c r="I42" s="4"/>
      <c r="J42" s="4"/>
      <c r="K42" s="4">
        <v>2</v>
      </c>
      <c r="L42" s="4">
        <v>2</v>
      </c>
      <c r="M42" s="4"/>
      <c r="N42" s="4"/>
      <c r="O42" s="4">
        <v>2</v>
      </c>
      <c r="P42" s="4">
        <v>2</v>
      </c>
      <c r="Q42" s="4"/>
      <c r="R42" s="4">
        <v>2</v>
      </c>
      <c r="S42" s="4">
        <v>2</v>
      </c>
      <c r="T42" s="4">
        <v>2</v>
      </c>
      <c r="U42" s="4">
        <v>2</v>
      </c>
      <c r="V42" s="4">
        <v>2</v>
      </c>
      <c r="W42" s="4"/>
      <c r="X42" s="4"/>
      <c r="Y42" s="4">
        <v>2</v>
      </c>
      <c r="Z42" s="4"/>
      <c r="AA42" s="4">
        <v>2</v>
      </c>
    </row>
    <row r="43" spans="1:27" x14ac:dyDescent="0.3">
      <c r="A43" s="3">
        <v>37</v>
      </c>
      <c r="B43" s="4" t="s">
        <v>46</v>
      </c>
      <c r="C43" s="4" t="s">
        <v>12</v>
      </c>
      <c r="D43" s="4">
        <v>109</v>
      </c>
      <c r="E43" s="4">
        <v>109</v>
      </c>
      <c r="F43" s="4">
        <v>109</v>
      </c>
      <c r="G43" s="4">
        <v>109</v>
      </c>
      <c r="H43" s="4">
        <v>109</v>
      </c>
      <c r="I43" s="4">
        <v>109</v>
      </c>
      <c r="J43" s="4">
        <v>109</v>
      </c>
      <c r="K43" s="4">
        <v>109</v>
      </c>
      <c r="L43" s="4">
        <v>109</v>
      </c>
      <c r="M43" s="4">
        <v>109</v>
      </c>
      <c r="N43" s="4">
        <v>109</v>
      </c>
      <c r="O43" s="4">
        <v>109</v>
      </c>
      <c r="P43" s="4">
        <v>109</v>
      </c>
      <c r="Q43" s="4">
        <v>109</v>
      </c>
      <c r="R43" s="4">
        <v>109</v>
      </c>
      <c r="S43" s="4">
        <v>109</v>
      </c>
      <c r="T43" s="4">
        <v>109</v>
      </c>
      <c r="U43" s="4">
        <v>109</v>
      </c>
      <c r="V43" s="4">
        <v>109</v>
      </c>
      <c r="W43" s="4">
        <v>109</v>
      </c>
      <c r="X43" s="4">
        <v>109</v>
      </c>
      <c r="Y43" s="4">
        <v>109</v>
      </c>
      <c r="Z43" s="4">
        <v>109</v>
      </c>
      <c r="AA43" s="4">
        <v>109</v>
      </c>
    </row>
    <row r="44" spans="1:27" x14ac:dyDescent="0.3">
      <c r="A44" s="3">
        <v>38</v>
      </c>
      <c r="B44" s="4" t="s">
        <v>47</v>
      </c>
      <c r="C44" s="4" t="s">
        <v>10</v>
      </c>
      <c r="D44" s="4"/>
      <c r="E44" s="4"/>
      <c r="F44" s="4"/>
      <c r="G44" s="4"/>
      <c r="H44" s="4"/>
      <c r="I44" s="4">
        <v>1</v>
      </c>
      <c r="J44" s="4"/>
      <c r="K44" s="4"/>
      <c r="L44" s="4"/>
      <c r="M44" s="4"/>
      <c r="N44" s="4"/>
      <c r="O44" s="4"/>
      <c r="P44" s="4">
        <v>1</v>
      </c>
      <c r="Q44" s="4"/>
      <c r="R44" s="4">
        <v>1</v>
      </c>
      <c r="S44" s="4">
        <v>1</v>
      </c>
      <c r="T44" s="4"/>
      <c r="U44" s="4"/>
      <c r="V44" s="4"/>
      <c r="W44" s="4">
        <v>1</v>
      </c>
      <c r="X44" s="4">
        <v>1</v>
      </c>
      <c r="Y44" s="4">
        <v>1</v>
      </c>
      <c r="Z44" s="4"/>
      <c r="AA44" s="4"/>
    </row>
    <row r="45" spans="1:27" x14ac:dyDescent="0.3">
      <c r="A45" s="3">
        <v>39</v>
      </c>
      <c r="B45" s="4" t="s">
        <v>48</v>
      </c>
      <c r="C45" s="4" t="s">
        <v>10</v>
      </c>
      <c r="D45" s="4"/>
      <c r="E45" s="4">
        <v>3</v>
      </c>
      <c r="F45" s="4"/>
      <c r="G45" s="4"/>
      <c r="H45" s="4">
        <v>3</v>
      </c>
      <c r="I45" s="4">
        <v>3</v>
      </c>
      <c r="J45" s="4">
        <v>3</v>
      </c>
      <c r="K45" s="4">
        <v>3</v>
      </c>
      <c r="L45" s="4"/>
      <c r="M45" s="4">
        <v>3</v>
      </c>
      <c r="N45" s="4"/>
      <c r="O45" s="4">
        <v>3</v>
      </c>
      <c r="P45" s="4">
        <v>3</v>
      </c>
      <c r="Q45" s="4"/>
      <c r="R45" s="4"/>
      <c r="S45" s="4">
        <v>3</v>
      </c>
      <c r="T45" s="4"/>
      <c r="U45" s="4"/>
      <c r="V45" s="4">
        <v>3</v>
      </c>
      <c r="W45" s="4">
        <v>3</v>
      </c>
      <c r="X45" s="4">
        <v>3</v>
      </c>
      <c r="Y45" s="4">
        <v>3</v>
      </c>
      <c r="Z45" s="4">
        <v>3</v>
      </c>
      <c r="AA45" s="4">
        <v>3</v>
      </c>
    </row>
    <row r="46" spans="1:27" x14ac:dyDescent="0.3">
      <c r="A46" s="3">
        <v>40</v>
      </c>
      <c r="B46" s="4" t="s">
        <v>49</v>
      </c>
      <c r="C46" s="4" t="s">
        <v>10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4</v>
      </c>
      <c r="P46" s="4">
        <v>4</v>
      </c>
      <c r="Q46" s="4"/>
      <c r="R46" s="4"/>
      <c r="S46" s="4">
        <v>4</v>
      </c>
      <c r="T46" s="4"/>
      <c r="U46" s="4"/>
      <c r="V46" s="4">
        <v>4</v>
      </c>
      <c r="W46" s="4">
        <v>4</v>
      </c>
      <c r="X46" s="4"/>
      <c r="Y46" s="4">
        <v>4</v>
      </c>
      <c r="Z46" s="4"/>
      <c r="AA46" s="4"/>
    </row>
    <row r="47" spans="1:27" x14ac:dyDescent="0.3">
      <c r="A47" s="3">
        <v>41</v>
      </c>
      <c r="B47" s="4" t="s">
        <v>50</v>
      </c>
      <c r="C47" s="4" t="s">
        <v>10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>
        <v>5</v>
      </c>
      <c r="P47" s="4">
        <v>5</v>
      </c>
      <c r="Q47" s="4"/>
      <c r="R47" s="4"/>
      <c r="S47" s="4">
        <v>5</v>
      </c>
      <c r="T47" s="4"/>
      <c r="U47" s="4"/>
      <c r="V47" s="4">
        <v>5</v>
      </c>
      <c r="W47" s="4">
        <v>5</v>
      </c>
      <c r="X47" s="4"/>
      <c r="Y47" s="4">
        <v>5</v>
      </c>
      <c r="Z47" s="4"/>
      <c r="AA47" s="4"/>
    </row>
    <row r="48" spans="1:27" x14ac:dyDescent="0.3">
      <c r="A48" s="3">
        <v>42</v>
      </c>
      <c r="B48" s="4" t="s">
        <v>51</v>
      </c>
      <c r="C48" s="4" t="s">
        <v>12</v>
      </c>
      <c r="D48" s="4">
        <v>112</v>
      </c>
      <c r="E48" s="4">
        <v>112</v>
      </c>
      <c r="F48" s="4">
        <v>112</v>
      </c>
      <c r="G48" s="4">
        <v>112</v>
      </c>
      <c r="H48" s="4">
        <v>112</v>
      </c>
      <c r="I48" s="4">
        <v>112</v>
      </c>
      <c r="J48" s="4">
        <v>112</v>
      </c>
      <c r="K48" s="4">
        <v>112</v>
      </c>
      <c r="L48" s="4">
        <v>112</v>
      </c>
      <c r="M48" s="4">
        <v>112</v>
      </c>
      <c r="N48" s="4">
        <v>112</v>
      </c>
      <c r="O48" s="4">
        <v>112</v>
      </c>
      <c r="P48" s="4">
        <v>112</v>
      </c>
      <c r="Q48" s="4">
        <v>112</v>
      </c>
      <c r="R48" s="4">
        <v>112</v>
      </c>
      <c r="S48" s="4">
        <v>112</v>
      </c>
      <c r="T48" s="4">
        <v>112</v>
      </c>
      <c r="U48" s="4">
        <v>112</v>
      </c>
      <c r="V48" s="4">
        <v>112</v>
      </c>
      <c r="W48" s="4">
        <v>112</v>
      </c>
      <c r="X48" s="4">
        <v>112</v>
      </c>
      <c r="Y48" s="4">
        <v>112</v>
      </c>
      <c r="Z48" s="4">
        <v>112</v>
      </c>
      <c r="AA48" s="4">
        <v>112</v>
      </c>
    </row>
    <row r="49" spans="1:28" x14ac:dyDescent="0.3">
      <c r="A49" s="3">
        <v>43</v>
      </c>
      <c r="B49" s="4" t="s">
        <v>52</v>
      </c>
      <c r="C49" s="4" t="s">
        <v>10</v>
      </c>
      <c r="D49" s="4">
        <v>62</v>
      </c>
      <c r="E49" s="4">
        <v>62</v>
      </c>
      <c r="F49" s="4">
        <v>62</v>
      </c>
      <c r="G49" s="4">
        <v>62</v>
      </c>
      <c r="H49" s="4">
        <v>62</v>
      </c>
      <c r="I49" s="4">
        <v>62</v>
      </c>
      <c r="J49" s="4">
        <v>62</v>
      </c>
      <c r="K49" s="4">
        <v>62</v>
      </c>
      <c r="L49" s="4">
        <v>62</v>
      </c>
      <c r="M49" s="4">
        <v>62</v>
      </c>
      <c r="N49" s="4">
        <v>62</v>
      </c>
      <c r="O49" s="4">
        <v>62</v>
      </c>
      <c r="P49" s="4">
        <v>62</v>
      </c>
      <c r="Q49" s="4">
        <v>62</v>
      </c>
      <c r="R49" s="4">
        <v>62</v>
      </c>
      <c r="S49" s="4">
        <v>62</v>
      </c>
      <c r="T49" s="4">
        <v>62</v>
      </c>
      <c r="U49" s="4">
        <v>62</v>
      </c>
      <c r="V49" s="4">
        <v>62</v>
      </c>
      <c r="W49" s="4">
        <v>62</v>
      </c>
      <c r="X49" s="4">
        <v>62</v>
      </c>
      <c r="Y49" s="4">
        <v>62</v>
      </c>
      <c r="Z49" s="4">
        <v>62</v>
      </c>
      <c r="AA49" s="4">
        <v>62</v>
      </c>
    </row>
    <row r="50" spans="1:28" x14ac:dyDescent="0.3">
      <c r="A50" s="3">
        <v>44</v>
      </c>
      <c r="B50" s="4" t="s">
        <v>53</v>
      </c>
      <c r="C50" s="4" t="s">
        <v>12</v>
      </c>
      <c r="D50" s="4"/>
      <c r="E50" s="4">
        <v>2</v>
      </c>
      <c r="F50" s="4"/>
      <c r="G50" s="4"/>
      <c r="H50" s="4"/>
      <c r="I50" s="4"/>
      <c r="J50" s="4"/>
      <c r="K50" s="4">
        <v>2</v>
      </c>
      <c r="L50" s="4">
        <v>2</v>
      </c>
      <c r="M50" s="4">
        <v>2</v>
      </c>
      <c r="N50" s="4"/>
      <c r="O50" s="4">
        <v>2</v>
      </c>
      <c r="P50" s="4">
        <v>2</v>
      </c>
      <c r="Q50" s="4">
        <v>2</v>
      </c>
      <c r="R50" s="4">
        <v>2</v>
      </c>
      <c r="S50" s="4">
        <v>2</v>
      </c>
      <c r="T50" s="4">
        <v>2</v>
      </c>
      <c r="U50" s="4">
        <v>2</v>
      </c>
      <c r="V50" s="4">
        <v>2</v>
      </c>
      <c r="W50" s="4">
        <v>2</v>
      </c>
      <c r="X50" s="4">
        <v>2</v>
      </c>
      <c r="Y50" s="4">
        <v>2</v>
      </c>
      <c r="Z50" s="4"/>
      <c r="AA50" s="4"/>
    </row>
    <row r="51" spans="1:28" x14ac:dyDescent="0.3">
      <c r="A51" s="3">
        <v>45</v>
      </c>
      <c r="B51" s="4" t="s">
        <v>54</v>
      </c>
      <c r="C51" s="4" t="s">
        <v>8</v>
      </c>
      <c r="D51" s="4"/>
      <c r="E51" s="4"/>
      <c r="F51" s="4"/>
      <c r="G51" s="4"/>
      <c r="H51" s="4">
        <v>2</v>
      </c>
      <c r="I51" s="4"/>
      <c r="J51" s="4"/>
      <c r="K51" s="4"/>
      <c r="L51" s="4"/>
      <c r="M51" s="4"/>
      <c r="N51" s="4">
        <v>2</v>
      </c>
      <c r="O51" s="4">
        <v>2</v>
      </c>
      <c r="P51" s="4">
        <v>2</v>
      </c>
      <c r="Q51" s="4">
        <v>2</v>
      </c>
      <c r="R51" s="4">
        <v>2</v>
      </c>
      <c r="S51" s="4">
        <v>2</v>
      </c>
      <c r="T51" s="4">
        <v>2</v>
      </c>
      <c r="U51" s="4"/>
      <c r="V51" s="4">
        <v>2</v>
      </c>
      <c r="W51" s="4">
        <v>2</v>
      </c>
      <c r="X51" s="4"/>
      <c r="Y51" s="4">
        <v>2</v>
      </c>
      <c r="Z51" s="4">
        <v>2</v>
      </c>
      <c r="AA51" s="4">
        <v>2</v>
      </c>
    </row>
    <row r="52" spans="1:28" x14ac:dyDescent="0.3">
      <c r="A52" s="3">
        <v>46</v>
      </c>
      <c r="B52" s="4" t="s">
        <v>55</v>
      </c>
      <c r="C52" s="4" t="s">
        <v>10</v>
      </c>
      <c r="D52" s="4">
        <v>63</v>
      </c>
      <c r="E52" s="4">
        <v>63</v>
      </c>
      <c r="F52" s="4">
        <v>63</v>
      </c>
      <c r="G52" s="4">
        <v>63</v>
      </c>
      <c r="H52" s="4">
        <v>63</v>
      </c>
      <c r="I52" s="4">
        <v>63</v>
      </c>
      <c r="J52" s="4">
        <v>63</v>
      </c>
      <c r="K52" s="4">
        <v>63</v>
      </c>
      <c r="L52" s="4">
        <v>63</v>
      </c>
      <c r="M52" s="4">
        <v>63</v>
      </c>
      <c r="N52" s="4">
        <v>63</v>
      </c>
      <c r="O52" s="4">
        <v>63</v>
      </c>
      <c r="P52" s="4">
        <v>63</v>
      </c>
      <c r="Q52" s="4">
        <v>63</v>
      </c>
      <c r="R52" s="4">
        <v>63</v>
      </c>
      <c r="S52" s="4">
        <v>63</v>
      </c>
      <c r="T52" s="4">
        <v>63</v>
      </c>
      <c r="U52" s="4">
        <v>63</v>
      </c>
      <c r="V52" s="4">
        <v>63</v>
      </c>
      <c r="W52" s="4">
        <v>63</v>
      </c>
      <c r="X52" s="4">
        <v>63</v>
      </c>
      <c r="Y52" s="4">
        <v>63</v>
      </c>
      <c r="Z52" s="4">
        <v>63</v>
      </c>
      <c r="AA52" s="4">
        <v>63</v>
      </c>
    </row>
    <row r="53" spans="1:28" x14ac:dyDescent="0.3">
      <c r="A53" s="3">
        <v>47</v>
      </c>
      <c r="B53" s="4" t="s">
        <v>56</v>
      </c>
      <c r="C53" s="4" t="s">
        <v>8</v>
      </c>
      <c r="D53" s="4">
        <v>2</v>
      </c>
      <c r="E53" s="4"/>
      <c r="F53" s="4"/>
      <c r="G53" s="4">
        <v>2</v>
      </c>
      <c r="H53" s="4"/>
      <c r="I53" s="4">
        <v>2</v>
      </c>
      <c r="J53" s="4"/>
      <c r="K53" s="4">
        <v>2</v>
      </c>
      <c r="L53" s="4"/>
      <c r="M53" s="4">
        <v>2</v>
      </c>
      <c r="N53" s="4"/>
      <c r="O53" s="4">
        <v>2</v>
      </c>
      <c r="P53" s="4">
        <v>2</v>
      </c>
      <c r="Q53" s="4"/>
      <c r="R53" s="4">
        <v>2</v>
      </c>
      <c r="S53" s="4">
        <v>2</v>
      </c>
      <c r="T53" s="4"/>
      <c r="U53" s="4"/>
      <c r="V53" s="4">
        <v>2</v>
      </c>
      <c r="W53" s="4">
        <v>2</v>
      </c>
      <c r="X53" s="4"/>
      <c r="Y53" s="4">
        <v>2</v>
      </c>
      <c r="Z53" s="4">
        <v>2</v>
      </c>
      <c r="AA53" s="4"/>
    </row>
    <row r="54" spans="1:28" x14ac:dyDescent="0.3">
      <c r="A54" s="3">
        <v>48</v>
      </c>
      <c r="B54" s="4" t="s">
        <v>57</v>
      </c>
      <c r="C54" s="4" t="s">
        <v>12</v>
      </c>
      <c r="D54" s="4">
        <v>95</v>
      </c>
      <c r="E54" s="4">
        <v>95</v>
      </c>
      <c r="F54" s="4">
        <v>95</v>
      </c>
      <c r="G54" s="4">
        <v>95</v>
      </c>
      <c r="H54" s="4">
        <v>95</v>
      </c>
      <c r="I54" s="4">
        <v>95</v>
      </c>
      <c r="J54" s="4">
        <v>95</v>
      </c>
      <c r="K54" s="4">
        <v>95</v>
      </c>
      <c r="L54" s="4">
        <v>95</v>
      </c>
      <c r="M54" s="4">
        <v>95</v>
      </c>
      <c r="N54" s="4">
        <v>95</v>
      </c>
      <c r="O54" s="4">
        <v>95</v>
      </c>
      <c r="P54" s="4">
        <v>95</v>
      </c>
      <c r="Q54" s="4">
        <v>95</v>
      </c>
      <c r="R54" s="4">
        <v>95</v>
      </c>
      <c r="S54" s="4">
        <v>95</v>
      </c>
      <c r="T54" s="4">
        <v>95</v>
      </c>
      <c r="U54" s="4">
        <v>95</v>
      </c>
      <c r="V54" s="4">
        <v>95</v>
      </c>
      <c r="W54" s="4">
        <v>95</v>
      </c>
      <c r="X54" s="4">
        <v>95</v>
      </c>
      <c r="Y54" s="4">
        <v>95</v>
      </c>
      <c r="Z54" s="4">
        <v>95</v>
      </c>
      <c r="AA54" s="4">
        <v>95</v>
      </c>
    </row>
    <row r="55" spans="1:28" x14ac:dyDescent="0.3">
      <c r="A55" s="3">
        <v>49</v>
      </c>
      <c r="B55" s="4" t="s">
        <v>58</v>
      </c>
      <c r="C55" s="4" t="s">
        <v>10</v>
      </c>
      <c r="D55" s="4">
        <v>1</v>
      </c>
      <c r="E55" s="4"/>
      <c r="F55" s="4"/>
      <c r="G55" s="4"/>
      <c r="H55" s="4">
        <v>1</v>
      </c>
      <c r="I55" s="4">
        <v>1</v>
      </c>
      <c r="J55" s="4">
        <v>1</v>
      </c>
      <c r="K55" s="4">
        <v>1</v>
      </c>
      <c r="L55" s="4"/>
      <c r="M55" s="4"/>
      <c r="N55" s="4"/>
      <c r="O55" s="4">
        <v>1</v>
      </c>
      <c r="P55" s="4">
        <v>1</v>
      </c>
      <c r="Q55" s="4">
        <v>1</v>
      </c>
      <c r="R55" s="4"/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</row>
    <row r="56" spans="1:28" x14ac:dyDescent="0.3">
      <c r="A56" s="3">
        <v>50</v>
      </c>
      <c r="B56" s="4" t="s">
        <v>59</v>
      </c>
      <c r="C56" s="4" t="s">
        <v>8</v>
      </c>
      <c r="D56" s="4">
        <v>51</v>
      </c>
      <c r="E56" s="4">
        <v>51</v>
      </c>
      <c r="F56" s="4">
        <v>51</v>
      </c>
      <c r="G56" s="4">
        <v>51</v>
      </c>
      <c r="H56" s="4">
        <v>51</v>
      </c>
      <c r="I56" s="4">
        <v>51</v>
      </c>
      <c r="J56" s="4">
        <v>51</v>
      </c>
      <c r="K56" s="4">
        <v>51</v>
      </c>
      <c r="L56" s="4">
        <v>51</v>
      </c>
      <c r="M56" s="4">
        <v>51</v>
      </c>
      <c r="N56" s="4">
        <v>51</v>
      </c>
      <c r="O56" s="4">
        <v>51</v>
      </c>
      <c r="P56" s="4">
        <v>51</v>
      </c>
      <c r="Q56" s="4">
        <v>51</v>
      </c>
      <c r="R56" s="4">
        <v>51</v>
      </c>
      <c r="S56" s="4">
        <v>51</v>
      </c>
      <c r="T56" s="4">
        <v>51</v>
      </c>
      <c r="U56" s="4">
        <v>51</v>
      </c>
      <c r="V56" s="4">
        <v>51</v>
      </c>
      <c r="W56" s="4">
        <v>51</v>
      </c>
      <c r="X56" s="4">
        <v>51</v>
      </c>
      <c r="Y56" s="4">
        <v>51</v>
      </c>
      <c r="Z56" s="4">
        <v>51</v>
      </c>
      <c r="AA56" s="4">
        <v>51</v>
      </c>
    </row>
    <row r="57" spans="1:28" x14ac:dyDescent="0.3">
      <c r="A57" s="3">
        <v>51</v>
      </c>
      <c r="B57" s="4" t="s">
        <v>60</v>
      </c>
      <c r="C57" s="4" t="s">
        <v>8</v>
      </c>
      <c r="D57" s="4">
        <v>48</v>
      </c>
      <c r="E57" s="4"/>
      <c r="F57" s="4"/>
      <c r="G57" s="4"/>
      <c r="H57" s="4"/>
      <c r="I57" s="4"/>
      <c r="J57" s="4"/>
      <c r="K57" s="4">
        <v>48</v>
      </c>
      <c r="L57" s="4"/>
      <c r="M57" s="4"/>
      <c r="N57" s="4">
        <v>48</v>
      </c>
      <c r="O57" s="4">
        <v>48</v>
      </c>
      <c r="P57" s="4">
        <v>48</v>
      </c>
      <c r="Q57" s="4">
        <v>48</v>
      </c>
      <c r="R57" s="4">
        <v>48</v>
      </c>
      <c r="S57" s="4">
        <v>48</v>
      </c>
      <c r="T57" s="4"/>
      <c r="U57" s="4"/>
      <c r="V57" s="4">
        <v>48</v>
      </c>
      <c r="W57" s="4">
        <v>48</v>
      </c>
      <c r="X57" s="4"/>
      <c r="Y57" s="4">
        <v>48</v>
      </c>
      <c r="Z57" s="4"/>
      <c r="AA57" s="4">
        <v>48</v>
      </c>
    </row>
    <row r="58" spans="1:28" x14ac:dyDescent="0.3">
      <c r="A58" s="3">
        <v>52</v>
      </c>
      <c r="B58" s="4" t="s">
        <v>61</v>
      </c>
      <c r="C58" s="4" t="s">
        <v>10</v>
      </c>
      <c r="D58" s="4">
        <v>61</v>
      </c>
      <c r="E58" s="4">
        <v>61</v>
      </c>
      <c r="F58" s="4">
        <v>61</v>
      </c>
      <c r="G58" s="4">
        <v>61</v>
      </c>
      <c r="H58" s="4">
        <v>61</v>
      </c>
      <c r="I58" s="4">
        <v>61</v>
      </c>
      <c r="J58" s="4">
        <v>61</v>
      </c>
      <c r="K58" s="4">
        <v>61</v>
      </c>
      <c r="L58" s="4">
        <v>61</v>
      </c>
      <c r="M58" s="4">
        <v>61</v>
      </c>
      <c r="N58" s="4">
        <v>61</v>
      </c>
      <c r="O58" s="4">
        <v>61</v>
      </c>
      <c r="P58" s="4">
        <v>61</v>
      </c>
      <c r="Q58" s="4">
        <v>61</v>
      </c>
      <c r="R58" s="4">
        <v>61</v>
      </c>
      <c r="S58" s="4">
        <v>61</v>
      </c>
      <c r="T58" s="4">
        <v>61</v>
      </c>
      <c r="U58" s="4">
        <v>61</v>
      </c>
      <c r="V58" s="4">
        <v>61</v>
      </c>
      <c r="W58" s="4">
        <v>61</v>
      </c>
      <c r="X58" s="4">
        <v>61</v>
      </c>
      <c r="Y58" s="4">
        <v>61</v>
      </c>
      <c r="Z58" s="4">
        <v>61</v>
      </c>
      <c r="AA58" s="4">
        <v>61</v>
      </c>
    </row>
    <row r="59" spans="1:28" x14ac:dyDescent="0.3">
      <c r="A59" s="3">
        <v>53</v>
      </c>
      <c r="B59" s="4" t="s">
        <v>62</v>
      </c>
      <c r="C59" s="4" t="s">
        <v>12</v>
      </c>
      <c r="D59" s="4">
        <v>86</v>
      </c>
      <c r="E59" s="4">
        <v>86</v>
      </c>
      <c r="F59" s="4">
        <v>86</v>
      </c>
      <c r="G59" s="4">
        <v>86</v>
      </c>
      <c r="H59" s="4">
        <v>86</v>
      </c>
      <c r="I59" s="4">
        <v>86</v>
      </c>
      <c r="J59" s="4">
        <v>86</v>
      </c>
      <c r="K59" s="4">
        <v>86</v>
      </c>
      <c r="L59" s="4">
        <v>86</v>
      </c>
      <c r="M59" s="4">
        <v>86</v>
      </c>
      <c r="N59" s="4">
        <v>86</v>
      </c>
      <c r="O59" s="4">
        <v>86</v>
      </c>
      <c r="P59" s="4">
        <v>86</v>
      </c>
      <c r="Q59" s="4">
        <v>86</v>
      </c>
      <c r="R59" s="4">
        <v>86</v>
      </c>
      <c r="S59" s="4">
        <v>86</v>
      </c>
      <c r="T59" s="4">
        <v>86</v>
      </c>
      <c r="U59" s="4">
        <v>86</v>
      </c>
      <c r="V59" s="4">
        <v>86</v>
      </c>
      <c r="W59" s="4">
        <v>86</v>
      </c>
      <c r="X59" s="4">
        <v>86</v>
      </c>
      <c r="Y59" s="4">
        <v>86</v>
      </c>
      <c r="Z59" s="4">
        <v>86</v>
      </c>
      <c r="AA59" s="4">
        <v>86</v>
      </c>
    </row>
    <row r="60" spans="1:28" x14ac:dyDescent="0.3">
      <c r="A60" s="3">
        <v>54</v>
      </c>
      <c r="B60" s="4" t="s">
        <v>63</v>
      </c>
      <c r="C60" s="4" t="s">
        <v>12</v>
      </c>
      <c r="D60" s="4">
        <v>2</v>
      </c>
      <c r="E60" s="4"/>
      <c r="F60" s="4"/>
      <c r="G60" s="4">
        <v>2</v>
      </c>
      <c r="H60" s="4"/>
      <c r="I60" s="4">
        <v>2</v>
      </c>
      <c r="J60" s="4"/>
      <c r="K60" s="4">
        <v>2</v>
      </c>
      <c r="L60" s="4"/>
      <c r="M60" s="4">
        <v>2</v>
      </c>
      <c r="N60" s="4"/>
      <c r="O60" s="4">
        <v>2</v>
      </c>
      <c r="P60" s="4">
        <v>2</v>
      </c>
      <c r="Q60" s="4"/>
      <c r="R60" s="4">
        <v>2</v>
      </c>
      <c r="S60" s="4"/>
      <c r="T60" s="4"/>
      <c r="U60" s="4"/>
      <c r="V60" s="4">
        <v>2</v>
      </c>
      <c r="W60" s="4">
        <v>2</v>
      </c>
      <c r="X60" s="4"/>
      <c r="Y60" s="4">
        <v>2</v>
      </c>
      <c r="Z60" s="4">
        <v>2</v>
      </c>
      <c r="AA60" s="4">
        <v>2</v>
      </c>
    </row>
    <row r="61" spans="1:28" x14ac:dyDescent="0.3">
      <c r="A61" s="3">
        <v>55</v>
      </c>
      <c r="B61" s="4" t="s">
        <v>64</v>
      </c>
      <c r="C61" s="4" t="s">
        <v>10</v>
      </c>
      <c r="D61" s="4">
        <v>1</v>
      </c>
      <c r="E61" s="4">
        <v>1</v>
      </c>
      <c r="F61" s="4"/>
      <c r="G61" s="4">
        <v>1</v>
      </c>
      <c r="H61" s="4">
        <v>1</v>
      </c>
      <c r="I61" s="4">
        <v>1</v>
      </c>
      <c r="J61" s="4">
        <v>1</v>
      </c>
      <c r="K61" s="4"/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/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13" t="s">
        <v>89</v>
      </c>
    </row>
    <row r="62" spans="1:28" ht="15.75" customHeight="1" x14ac:dyDescent="0.3">
      <c r="A62" s="15" t="s">
        <v>90</v>
      </c>
      <c r="B62" s="5" t="s">
        <v>8</v>
      </c>
      <c r="C62" s="6" t="s">
        <v>91</v>
      </c>
      <c r="D62" s="7">
        <f t="shared" ref="D62:AA62" si="0">SUMIF($C$7:$C$61,$B$62,D$7:D$61)</f>
        <v>5545</v>
      </c>
      <c r="E62" s="7">
        <f t="shared" si="0"/>
        <v>5495</v>
      </c>
      <c r="F62" s="7">
        <f t="shared" si="0"/>
        <v>5495</v>
      </c>
      <c r="G62" s="7">
        <f t="shared" si="0"/>
        <v>5497</v>
      </c>
      <c r="H62" s="7">
        <f t="shared" si="0"/>
        <v>5497</v>
      </c>
      <c r="I62" s="7">
        <f t="shared" si="0"/>
        <v>5497</v>
      </c>
      <c r="J62" s="7">
        <f t="shared" si="0"/>
        <v>5495</v>
      </c>
      <c r="K62" s="7">
        <f t="shared" si="0"/>
        <v>5545</v>
      </c>
      <c r="L62" s="7">
        <f t="shared" si="0"/>
        <v>5495</v>
      </c>
      <c r="M62" s="7">
        <f t="shared" si="0"/>
        <v>5497</v>
      </c>
      <c r="N62" s="7">
        <f t="shared" si="0"/>
        <v>5545</v>
      </c>
      <c r="O62" s="7">
        <f t="shared" si="0"/>
        <v>5077</v>
      </c>
      <c r="P62" s="7">
        <f t="shared" si="0"/>
        <v>5075</v>
      </c>
      <c r="Q62" s="7">
        <f t="shared" si="0"/>
        <v>5545</v>
      </c>
      <c r="R62" s="7">
        <f t="shared" si="0"/>
        <v>5547</v>
      </c>
      <c r="S62" s="7">
        <f t="shared" si="0"/>
        <v>5077</v>
      </c>
      <c r="T62" s="7">
        <f t="shared" si="0"/>
        <v>5497</v>
      </c>
      <c r="U62" s="7">
        <f t="shared" si="0"/>
        <v>5495</v>
      </c>
      <c r="V62" s="7">
        <f t="shared" si="0"/>
        <v>5077</v>
      </c>
      <c r="W62" s="7">
        <f t="shared" si="0"/>
        <v>5077</v>
      </c>
      <c r="X62" s="7">
        <f t="shared" si="0"/>
        <v>5495</v>
      </c>
      <c r="Y62" s="7">
        <f t="shared" si="0"/>
        <v>5075</v>
      </c>
      <c r="Z62" s="7">
        <f t="shared" si="0"/>
        <v>5499</v>
      </c>
      <c r="AA62" s="7">
        <f t="shared" si="0"/>
        <v>5545</v>
      </c>
      <c r="AB62" s="6">
        <f>SUM(D62:AA62)</f>
        <v>129684</v>
      </c>
    </row>
    <row r="63" spans="1:28" ht="15.75" customHeight="1" x14ac:dyDescent="0.3">
      <c r="A63" s="16"/>
      <c r="B63" s="8" t="s">
        <v>12</v>
      </c>
      <c r="C63" s="6" t="s">
        <v>92</v>
      </c>
      <c r="D63" s="9">
        <f t="shared" ref="D63:AA63" si="1">SUMIF($C$7:$C$61,$B$63,D$7:D$61)</f>
        <v>5862</v>
      </c>
      <c r="E63" s="9">
        <f t="shared" si="1"/>
        <v>5860</v>
      </c>
      <c r="F63" s="9">
        <f t="shared" si="1"/>
        <v>5858</v>
      </c>
      <c r="G63" s="9">
        <f t="shared" si="1"/>
        <v>5860</v>
      </c>
      <c r="H63" s="9">
        <f t="shared" si="1"/>
        <v>5860</v>
      </c>
      <c r="I63" s="9">
        <f t="shared" si="1"/>
        <v>5860</v>
      </c>
      <c r="J63" s="9">
        <f t="shared" si="1"/>
        <v>5858</v>
      </c>
      <c r="K63" s="9">
        <f t="shared" si="1"/>
        <v>5731</v>
      </c>
      <c r="L63" s="9">
        <f t="shared" si="1"/>
        <v>5862</v>
      </c>
      <c r="M63" s="9">
        <f t="shared" si="1"/>
        <v>5729</v>
      </c>
      <c r="N63" s="9">
        <f t="shared" si="1"/>
        <v>5725</v>
      </c>
      <c r="O63" s="9">
        <f t="shared" si="1"/>
        <v>5864</v>
      </c>
      <c r="P63" s="9">
        <f t="shared" si="1"/>
        <v>5864</v>
      </c>
      <c r="Q63" s="9">
        <f t="shared" si="1"/>
        <v>5860</v>
      </c>
      <c r="R63" s="9">
        <f t="shared" si="1"/>
        <v>5864</v>
      </c>
      <c r="S63" s="9">
        <f t="shared" si="1"/>
        <v>5862</v>
      </c>
      <c r="T63" s="9">
        <f t="shared" si="1"/>
        <v>5862</v>
      </c>
      <c r="U63" s="9">
        <f t="shared" si="1"/>
        <v>5862</v>
      </c>
      <c r="V63" s="9">
        <f t="shared" si="1"/>
        <v>5864</v>
      </c>
      <c r="W63" s="9">
        <f t="shared" si="1"/>
        <v>5862</v>
      </c>
      <c r="X63" s="9">
        <f t="shared" si="1"/>
        <v>5860</v>
      </c>
      <c r="Y63" s="9">
        <f t="shared" si="1"/>
        <v>5864</v>
      </c>
      <c r="Z63" s="9">
        <f t="shared" si="1"/>
        <v>5860</v>
      </c>
      <c r="AA63" s="9">
        <f t="shared" si="1"/>
        <v>5862</v>
      </c>
      <c r="AB63" s="6">
        <f>SUM(D63:AA63)</f>
        <v>140275</v>
      </c>
    </row>
    <row r="64" spans="1:28" ht="15.75" customHeight="1" x14ac:dyDescent="0.3">
      <c r="A64" s="17"/>
      <c r="B64" s="8" t="s">
        <v>10</v>
      </c>
      <c r="C64" s="6" t="s">
        <v>93</v>
      </c>
      <c r="D64" s="9">
        <f t="shared" ref="D64:AA64" si="2">SUMIF($C$7:$C$61,$B$64,D$7:D$61)</f>
        <v>5394</v>
      </c>
      <c r="E64" s="9">
        <f t="shared" si="2"/>
        <v>5776</v>
      </c>
      <c r="F64" s="9">
        <f t="shared" si="2"/>
        <v>5771</v>
      </c>
      <c r="G64" s="9">
        <f t="shared" si="2"/>
        <v>5773</v>
      </c>
      <c r="H64" s="9">
        <f t="shared" si="2"/>
        <v>5777</v>
      </c>
      <c r="I64" s="9">
        <f t="shared" si="2"/>
        <v>5399</v>
      </c>
      <c r="J64" s="9">
        <f t="shared" si="2"/>
        <v>5398</v>
      </c>
      <c r="K64" s="9">
        <f t="shared" si="2"/>
        <v>5776</v>
      </c>
      <c r="L64" s="9">
        <f t="shared" si="2"/>
        <v>5772</v>
      </c>
      <c r="M64" s="9">
        <f t="shared" si="2"/>
        <v>5776</v>
      </c>
      <c r="N64" s="9">
        <f t="shared" si="2"/>
        <v>5394</v>
      </c>
      <c r="O64" s="9">
        <f t="shared" si="2"/>
        <v>5785</v>
      </c>
      <c r="P64" s="9">
        <f t="shared" si="2"/>
        <v>5787</v>
      </c>
      <c r="Q64" s="9">
        <f t="shared" si="2"/>
        <v>5394</v>
      </c>
      <c r="R64" s="9">
        <f t="shared" si="2"/>
        <v>5395</v>
      </c>
      <c r="S64" s="9">
        <f t="shared" si="2"/>
        <v>5787</v>
      </c>
      <c r="T64" s="9">
        <f t="shared" si="2"/>
        <v>5774</v>
      </c>
      <c r="U64" s="9">
        <f t="shared" si="2"/>
        <v>5772</v>
      </c>
      <c r="V64" s="9">
        <f t="shared" si="2"/>
        <v>5786</v>
      </c>
      <c r="W64" s="9">
        <f t="shared" si="2"/>
        <v>5787</v>
      </c>
      <c r="X64" s="9">
        <f t="shared" si="2"/>
        <v>5778</v>
      </c>
      <c r="Y64" s="9">
        <f t="shared" si="2"/>
        <v>5787</v>
      </c>
      <c r="Z64" s="9">
        <f t="shared" si="2"/>
        <v>5777</v>
      </c>
      <c r="AA64" s="9">
        <f t="shared" si="2"/>
        <v>5397</v>
      </c>
      <c r="AB64" s="6">
        <f>SUM(D64:AA64)</f>
        <v>136012</v>
      </c>
    </row>
    <row r="65" spans="3:28" ht="15.75" customHeight="1" x14ac:dyDescent="0.3">
      <c r="C65" s="6" t="s">
        <v>94</v>
      </c>
      <c r="D65" s="9">
        <f t="shared" ref="D65:AA65" si="3">D62/0.6+D63/0.66+D64/0.72</f>
        <v>25615.151515151516</v>
      </c>
      <c r="E65" s="10">
        <f t="shared" si="3"/>
        <v>26059.343434343435</v>
      </c>
      <c r="F65" s="10">
        <f t="shared" si="3"/>
        <v>26049.368686868689</v>
      </c>
      <c r="G65" s="10">
        <f t="shared" si="3"/>
        <v>26058.510101010099</v>
      </c>
      <c r="H65" s="10">
        <f t="shared" si="3"/>
        <v>26064.065656565654</v>
      </c>
      <c r="I65" s="10">
        <f t="shared" si="3"/>
        <v>25539.065656565654</v>
      </c>
      <c r="J65" s="10">
        <f t="shared" si="3"/>
        <v>25531.313131313134</v>
      </c>
      <c r="K65" s="10">
        <f t="shared" si="3"/>
        <v>25947.222222222223</v>
      </c>
      <c r="L65" s="10">
        <f t="shared" si="3"/>
        <v>26056.818181818184</v>
      </c>
      <c r="M65" s="10">
        <f t="shared" si="3"/>
        <v>25864.191919191919</v>
      </c>
      <c r="N65" s="10">
        <f t="shared" si="3"/>
        <v>25407.57575757576</v>
      </c>
      <c r="O65" s="10">
        <f t="shared" si="3"/>
        <v>25381.237373737375</v>
      </c>
      <c r="P65" s="10">
        <f t="shared" si="3"/>
        <v>25380.681818181816</v>
      </c>
      <c r="Q65" s="10">
        <f t="shared" si="3"/>
        <v>25612.121212121212</v>
      </c>
      <c r="R65" s="10">
        <f t="shared" si="3"/>
        <v>25622.904040404039</v>
      </c>
      <c r="S65" s="10">
        <f t="shared" si="3"/>
        <v>25380.984848484848</v>
      </c>
      <c r="T65" s="10">
        <f t="shared" si="3"/>
        <v>26062.929292929293</v>
      </c>
      <c r="U65" s="10">
        <f t="shared" si="3"/>
        <v>26056.818181818184</v>
      </c>
      <c r="V65" s="10">
        <f t="shared" si="3"/>
        <v>25382.626262626261</v>
      </c>
      <c r="W65" s="10">
        <f t="shared" si="3"/>
        <v>25380.984848484848</v>
      </c>
      <c r="X65" s="10">
        <f t="shared" si="3"/>
        <v>26062.121212121212</v>
      </c>
      <c r="Y65" s="10">
        <f t="shared" si="3"/>
        <v>25380.681818181816</v>
      </c>
      <c r="Z65" s="10">
        <f t="shared" si="3"/>
        <v>26067.398989898989</v>
      </c>
      <c r="AA65" s="10">
        <f t="shared" si="3"/>
        <v>25619.318181818184</v>
      </c>
      <c r="AB65" s="6">
        <f>SUM(D65:AA65)</f>
        <v>617583.43434343429</v>
      </c>
    </row>
    <row r="66" spans="3:28" ht="35.1" customHeight="1" x14ac:dyDescent="0.3">
      <c r="C66" s="11" t="s">
        <v>95</v>
      </c>
      <c r="D66" s="12">
        <f t="shared" ref="D66:AA66" si="4">(D65)/28200</f>
        <v>0.90833870621104662</v>
      </c>
      <c r="E66" s="12">
        <f t="shared" si="4"/>
        <v>0.92409019270721404</v>
      </c>
      <c r="F66" s="12">
        <f t="shared" si="4"/>
        <v>0.92373647825775496</v>
      </c>
      <c r="G66" s="12">
        <f t="shared" si="4"/>
        <v>0.92406064187979076</v>
      </c>
      <c r="H66" s="12">
        <f t="shared" si="4"/>
        <v>0.92425764739594518</v>
      </c>
      <c r="I66" s="12">
        <f t="shared" si="4"/>
        <v>0.90564062611934937</v>
      </c>
      <c r="J66" s="12">
        <f t="shared" si="4"/>
        <v>0.90536571387635223</v>
      </c>
      <c r="K66" s="12">
        <f t="shared" si="4"/>
        <v>0.92011426319936962</v>
      </c>
      <c r="L66" s="12">
        <f t="shared" si="4"/>
        <v>0.92400064474532562</v>
      </c>
      <c r="M66" s="12">
        <f t="shared" si="4"/>
        <v>0.91716992621247939</v>
      </c>
      <c r="N66" s="12">
        <f t="shared" si="4"/>
        <v>0.90097786374382127</v>
      </c>
      <c r="O66" s="12">
        <f t="shared" si="4"/>
        <v>0.90004387850132539</v>
      </c>
      <c r="P66" s="12">
        <f t="shared" si="4"/>
        <v>0.90002417794970979</v>
      </c>
      <c r="Q66" s="12">
        <f t="shared" si="4"/>
        <v>0.90823124865678062</v>
      </c>
      <c r="R66" s="12">
        <f t="shared" si="4"/>
        <v>0.90861361845404398</v>
      </c>
      <c r="S66" s="12">
        <f t="shared" si="4"/>
        <v>0.90003492370513649</v>
      </c>
      <c r="T66" s="12">
        <f t="shared" si="4"/>
        <v>0.92421735081309553</v>
      </c>
      <c r="U66" s="12">
        <f t="shared" si="4"/>
        <v>0.92400064474532562</v>
      </c>
      <c r="V66" s="12">
        <f t="shared" si="4"/>
        <v>0.90009312988036383</v>
      </c>
      <c r="W66" s="12">
        <f t="shared" si="4"/>
        <v>0.90003492370513649</v>
      </c>
      <c r="X66" s="12">
        <f t="shared" si="4"/>
        <v>0.92418869546529125</v>
      </c>
      <c r="Y66" s="12">
        <f t="shared" si="4"/>
        <v>0.90002417794970979</v>
      </c>
      <c r="Z66" s="12">
        <f t="shared" si="4"/>
        <v>0.92437585070563788</v>
      </c>
      <c r="AA66" s="12">
        <f t="shared" si="4"/>
        <v>0.90848646034816249</v>
      </c>
      <c r="AB66" s="6">
        <f>SUM(D66:AA66)</f>
        <v>21.900121785228166</v>
      </c>
    </row>
  </sheetData>
  <mergeCells count="1">
    <mergeCell ref="A62:A64"/>
  </mergeCells>
  <phoneticPr fontId="6" type="noConversion"/>
  <pageMargins left="0.75" right="0.75" top="1" bottom="1" header="0.5" footer="0.5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topLeftCell="K52" workbookViewId="0">
      <selection activeCell="E67" sqref="E67"/>
    </sheetView>
  </sheetViews>
  <sheetFormatPr defaultColWidth="9" defaultRowHeight="13.5" x14ac:dyDescent="0.3"/>
  <cols>
    <col min="2" max="2" width="9.59765625" style="14" customWidth="1"/>
    <col min="3" max="3" width="13.73046875" style="14" customWidth="1"/>
    <col min="4" max="4" width="10.59765625" style="14" customWidth="1"/>
    <col min="5" max="5" width="10.1328125" style="14" customWidth="1"/>
    <col min="6" max="10" width="11.1328125" style="14" customWidth="1"/>
    <col min="11" max="11" width="10.1328125" style="14" customWidth="1"/>
    <col min="12" max="12" width="11.1328125" style="14" customWidth="1"/>
    <col min="28" max="28" width="14.1328125" style="14" customWidth="1"/>
  </cols>
  <sheetData>
    <row r="1" spans="1:27" s="2" customFormat="1" x14ac:dyDescent="0.3">
      <c r="B1" s="1" t="s">
        <v>0</v>
      </c>
      <c r="C1" s="1"/>
    </row>
    <row r="2" spans="1:27" s="2" customFormat="1" x14ac:dyDescent="0.3">
      <c r="B2" s="1" t="s">
        <v>1</v>
      </c>
      <c r="C2" s="1"/>
    </row>
    <row r="3" spans="1:27" s="2" customFormat="1" x14ac:dyDescent="0.3">
      <c r="B3" s="1" t="s">
        <v>2</v>
      </c>
      <c r="C3" s="1"/>
    </row>
    <row r="4" spans="1:27" s="2" customFormat="1" x14ac:dyDescent="0.3">
      <c r="B4" s="1" t="s">
        <v>3</v>
      </c>
      <c r="C4" s="1"/>
    </row>
    <row r="5" spans="1:27" s="2" customFormat="1" x14ac:dyDescent="0.3"/>
    <row r="6" spans="1:27" s="2" customFormat="1" x14ac:dyDescent="0.3">
      <c r="A6" s="3" t="s">
        <v>4</v>
      </c>
      <c r="B6" s="3" t="s">
        <v>5</v>
      </c>
      <c r="C6" s="3" t="s">
        <v>6</v>
      </c>
      <c r="D6" s="3" t="s">
        <v>65</v>
      </c>
      <c r="E6" s="3" t="s">
        <v>66</v>
      </c>
      <c r="F6" s="3" t="s">
        <v>67</v>
      </c>
      <c r="G6" s="3" t="s">
        <v>68</v>
      </c>
      <c r="H6" s="3" t="s">
        <v>69</v>
      </c>
      <c r="I6" s="3" t="s">
        <v>70</v>
      </c>
      <c r="J6" s="3" t="s">
        <v>71</v>
      </c>
      <c r="K6" s="3" t="s">
        <v>72</v>
      </c>
      <c r="L6" s="3" t="s">
        <v>73</v>
      </c>
      <c r="M6" s="3" t="s">
        <v>74</v>
      </c>
      <c r="N6" s="3" t="s">
        <v>75</v>
      </c>
      <c r="O6" s="3" t="s">
        <v>76</v>
      </c>
      <c r="P6" s="3" t="s">
        <v>77</v>
      </c>
      <c r="Q6" s="3" t="s">
        <v>78</v>
      </c>
      <c r="R6" s="3" t="s">
        <v>79</v>
      </c>
      <c r="S6" s="3" t="s">
        <v>80</v>
      </c>
      <c r="T6" s="3" t="s">
        <v>81</v>
      </c>
      <c r="U6" s="3" t="s">
        <v>82</v>
      </c>
      <c r="V6" s="3" t="s">
        <v>83</v>
      </c>
      <c r="W6" s="3" t="s">
        <v>84</v>
      </c>
      <c r="X6" s="3" t="s">
        <v>85</v>
      </c>
      <c r="Y6" s="3" t="s">
        <v>86</v>
      </c>
      <c r="Z6" s="3" t="s">
        <v>87</v>
      </c>
      <c r="AA6" s="3" t="s">
        <v>88</v>
      </c>
    </row>
    <row r="7" spans="1:27" x14ac:dyDescent="0.3">
      <c r="A7" s="3">
        <v>1</v>
      </c>
      <c r="B7" s="4" t="s">
        <v>7</v>
      </c>
      <c r="C7" s="4" t="s">
        <v>8</v>
      </c>
      <c r="D7" s="4">
        <v>1437</v>
      </c>
      <c r="E7" s="4">
        <v>1472</v>
      </c>
      <c r="F7" s="4">
        <v>1520</v>
      </c>
      <c r="G7" s="4">
        <v>1536</v>
      </c>
      <c r="H7" s="4">
        <v>1548</v>
      </c>
      <c r="I7" s="4">
        <v>1554</v>
      </c>
      <c r="J7" s="4">
        <v>1557</v>
      </c>
      <c r="K7" s="4">
        <v>1559</v>
      </c>
      <c r="L7" s="4">
        <v>1560</v>
      </c>
      <c r="M7" s="4">
        <v>1561</v>
      </c>
      <c r="N7" s="4">
        <v>1561</v>
      </c>
      <c r="O7" s="4">
        <v>1561</v>
      </c>
      <c r="P7" s="4">
        <v>1561</v>
      </c>
      <c r="Q7" s="4">
        <v>1561</v>
      </c>
      <c r="R7" s="4">
        <v>1561</v>
      </c>
      <c r="S7" s="4">
        <v>1561</v>
      </c>
      <c r="T7" s="4">
        <v>1561</v>
      </c>
      <c r="U7" s="4">
        <v>1561</v>
      </c>
      <c r="V7" s="4">
        <v>1561</v>
      </c>
      <c r="W7" s="4">
        <v>1561</v>
      </c>
      <c r="X7" s="4">
        <v>1561</v>
      </c>
      <c r="Y7" s="4">
        <v>1561</v>
      </c>
      <c r="Z7" s="4">
        <v>1561</v>
      </c>
      <c r="AA7" s="4">
        <v>1561</v>
      </c>
    </row>
    <row r="8" spans="1:27" x14ac:dyDescent="0.3">
      <c r="A8" s="3">
        <v>2</v>
      </c>
      <c r="B8" s="4" t="s">
        <v>9</v>
      </c>
      <c r="C8" s="4" t="s">
        <v>10</v>
      </c>
      <c r="D8" s="4">
        <v>1333</v>
      </c>
      <c r="E8" s="4">
        <v>1378</v>
      </c>
      <c r="F8" s="4">
        <v>1419</v>
      </c>
      <c r="G8" s="4">
        <v>1436</v>
      </c>
      <c r="H8" s="4">
        <v>1447</v>
      </c>
      <c r="I8" s="4">
        <v>1452</v>
      </c>
      <c r="J8" s="4">
        <v>1455</v>
      </c>
      <c r="K8" s="4">
        <v>1457</v>
      </c>
      <c r="L8" s="4">
        <v>1458</v>
      </c>
      <c r="M8" s="4">
        <v>1458</v>
      </c>
      <c r="N8" s="4">
        <v>1458</v>
      </c>
      <c r="O8" s="4">
        <v>1459</v>
      </c>
      <c r="P8" s="4">
        <v>1459</v>
      </c>
      <c r="Q8" s="4">
        <v>1459</v>
      </c>
      <c r="R8" s="4">
        <v>1459</v>
      </c>
      <c r="S8" s="4">
        <v>1459</v>
      </c>
      <c r="T8" s="4">
        <v>1459</v>
      </c>
      <c r="U8" s="4">
        <v>1459</v>
      </c>
      <c r="V8" s="4">
        <v>1459</v>
      </c>
      <c r="W8" s="4">
        <v>1459</v>
      </c>
      <c r="X8" s="4">
        <v>1459</v>
      </c>
      <c r="Y8" s="4">
        <v>1459</v>
      </c>
      <c r="Z8" s="4">
        <v>1459</v>
      </c>
      <c r="AA8" s="4">
        <v>1459</v>
      </c>
    </row>
    <row r="9" spans="1:27" x14ac:dyDescent="0.3">
      <c r="A9" s="3">
        <v>3</v>
      </c>
      <c r="B9" s="4" t="s">
        <v>11</v>
      </c>
      <c r="C9" s="4" t="s">
        <v>12</v>
      </c>
      <c r="D9" s="4">
        <v>1038</v>
      </c>
      <c r="E9" s="4">
        <v>1038</v>
      </c>
      <c r="F9" s="4">
        <v>1038</v>
      </c>
      <c r="G9" s="4">
        <v>1038</v>
      </c>
      <c r="H9" s="4">
        <v>1038</v>
      </c>
      <c r="I9" s="4">
        <v>1038</v>
      </c>
      <c r="J9" s="4">
        <v>1038</v>
      </c>
      <c r="K9" s="4">
        <v>1038</v>
      </c>
      <c r="L9" s="4">
        <v>1038</v>
      </c>
      <c r="M9" s="4">
        <v>1038</v>
      </c>
      <c r="N9" s="4">
        <v>1038</v>
      </c>
      <c r="O9" s="4">
        <v>1038</v>
      </c>
      <c r="P9" s="4">
        <v>1038</v>
      </c>
      <c r="Q9" s="4">
        <v>1038</v>
      </c>
      <c r="R9" s="4">
        <v>1038</v>
      </c>
      <c r="S9" s="4">
        <v>1038</v>
      </c>
      <c r="T9" s="4">
        <v>1038</v>
      </c>
      <c r="U9" s="4">
        <v>1038</v>
      </c>
      <c r="V9" s="4">
        <v>1038</v>
      </c>
      <c r="W9" s="4">
        <v>1038</v>
      </c>
      <c r="X9" s="4">
        <v>1038</v>
      </c>
      <c r="Y9" s="4">
        <v>1038</v>
      </c>
      <c r="Z9" s="4">
        <v>1038</v>
      </c>
      <c r="AA9" s="4">
        <v>1038</v>
      </c>
    </row>
    <row r="10" spans="1:27" x14ac:dyDescent="0.3">
      <c r="A10" s="3">
        <v>4</v>
      </c>
      <c r="B10" s="4" t="s">
        <v>13</v>
      </c>
      <c r="C10" s="4" t="s">
        <v>12</v>
      </c>
      <c r="D10" s="4">
        <v>1118</v>
      </c>
      <c r="E10" s="4">
        <v>1118</v>
      </c>
      <c r="F10" s="4">
        <v>1118</v>
      </c>
      <c r="G10" s="4">
        <v>1118</v>
      </c>
      <c r="H10" s="4">
        <v>1118</v>
      </c>
      <c r="I10" s="4">
        <v>1118</v>
      </c>
      <c r="J10" s="4">
        <v>1118</v>
      </c>
      <c r="K10" s="4">
        <v>1118</v>
      </c>
      <c r="L10" s="4">
        <v>1118</v>
      </c>
      <c r="M10" s="4">
        <v>1118</v>
      </c>
      <c r="N10" s="4">
        <v>1118</v>
      </c>
      <c r="O10" s="4">
        <v>1118</v>
      </c>
      <c r="P10" s="4">
        <v>1118</v>
      </c>
      <c r="Q10" s="4">
        <v>1118</v>
      </c>
      <c r="R10" s="4">
        <v>1118</v>
      </c>
      <c r="S10" s="4">
        <v>1118</v>
      </c>
      <c r="T10" s="4">
        <v>1118</v>
      </c>
      <c r="U10" s="4">
        <v>1118</v>
      </c>
      <c r="V10" s="4">
        <v>1118</v>
      </c>
      <c r="W10" s="4">
        <v>1118</v>
      </c>
      <c r="X10" s="4">
        <v>1118</v>
      </c>
      <c r="Y10" s="4">
        <v>1118</v>
      </c>
      <c r="Z10" s="4">
        <v>1118</v>
      </c>
      <c r="AA10" s="4">
        <v>1118</v>
      </c>
    </row>
    <row r="11" spans="1:27" x14ac:dyDescent="0.3">
      <c r="A11" s="3">
        <v>5</v>
      </c>
      <c r="B11" s="4" t="s">
        <v>14</v>
      </c>
      <c r="C11" s="4" t="s">
        <v>8</v>
      </c>
      <c r="D11" s="4">
        <v>576</v>
      </c>
      <c r="E11" s="4">
        <v>637</v>
      </c>
      <c r="F11" s="4">
        <v>728</v>
      </c>
      <c r="G11" s="4">
        <v>766</v>
      </c>
      <c r="H11" s="4">
        <v>783</v>
      </c>
      <c r="I11" s="4">
        <v>790</v>
      </c>
      <c r="J11" s="4">
        <v>793</v>
      </c>
      <c r="K11" s="4">
        <v>794</v>
      </c>
      <c r="L11" s="4">
        <v>794</v>
      </c>
      <c r="M11" s="4">
        <v>795</v>
      </c>
      <c r="N11" s="4">
        <v>795</v>
      </c>
      <c r="O11" s="4">
        <v>795</v>
      </c>
      <c r="P11" s="4">
        <v>795</v>
      </c>
      <c r="Q11" s="4">
        <v>795</v>
      </c>
      <c r="R11" s="4">
        <v>795</v>
      </c>
      <c r="S11" s="4">
        <v>795</v>
      </c>
      <c r="T11" s="4">
        <v>795</v>
      </c>
      <c r="U11" s="4">
        <v>795</v>
      </c>
      <c r="V11" s="4">
        <v>795</v>
      </c>
      <c r="W11" s="4">
        <v>795</v>
      </c>
      <c r="X11" s="4">
        <v>795</v>
      </c>
      <c r="Y11" s="4">
        <v>795</v>
      </c>
      <c r="Z11" s="4">
        <v>795</v>
      </c>
      <c r="AA11" s="4">
        <v>795</v>
      </c>
    </row>
    <row r="12" spans="1:27" x14ac:dyDescent="0.3">
      <c r="A12" s="3">
        <v>6</v>
      </c>
      <c r="B12" s="4" t="s">
        <v>15</v>
      </c>
      <c r="C12" s="4" t="s">
        <v>12</v>
      </c>
      <c r="D12" s="4">
        <v>681</v>
      </c>
      <c r="E12" s="4">
        <v>693</v>
      </c>
      <c r="F12" s="4">
        <v>722</v>
      </c>
      <c r="G12" s="4">
        <v>730</v>
      </c>
      <c r="H12" s="4">
        <v>740</v>
      </c>
      <c r="I12" s="4">
        <v>744</v>
      </c>
      <c r="J12" s="4">
        <v>748</v>
      </c>
      <c r="K12" s="4">
        <v>749</v>
      </c>
      <c r="L12" s="4">
        <v>751</v>
      </c>
      <c r="M12" s="4">
        <v>752</v>
      </c>
      <c r="N12" s="4">
        <v>752</v>
      </c>
      <c r="O12" s="4">
        <v>752</v>
      </c>
      <c r="P12" s="4">
        <v>753</v>
      </c>
      <c r="Q12" s="4">
        <v>753</v>
      </c>
      <c r="R12" s="4">
        <v>753</v>
      </c>
      <c r="S12" s="4">
        <v>753</v>
      </c>
      <c r="T12" s="4">
        <v>753</v>
      </c>
      <c r="U12" s="4">
        <v>753</v>
      </c>
      <c r="V12" s="4">
        <v>753</v>
      </c>
      <c r="W12" s="4">
        <v>753</v>
      </c>
      <c r="X12" s="4">
        <v>753</v>
      </c>
      <c r="Y12" s="4">
        <v>753</v>
      </c>
      <c r="Z12" s="4">
        <v>753</v>
      </c>
      <c r="AA12" s="4">
        <v>753</v>
      </c>
    </row>
    <row r="13" spans="1:27" x14ac:dyDescent="0.3">
      <c r="A13" s="3">
        <v>7</v>
      </c>
      <c r="B13" s="4" t="s">
        <v>16</v>
      </c>
      <c r="C13" s="4" t="s">
        <v>10</v>
      </c>
      <c r="D13" s="4">
        <v>735</v>
      </c>
      <c r="E13" s="4">
        <v>735</v>
      </c>
      <c r="F13" s="4">
        <v>735</v>
      </c>
      <c r="G13" s="4">
        <v>735</v>
      </c>
      <c r="H13" s="4">
        <v>735</v>
      </c>
      <c r="I13" s="4">
        <v>735</v>
      </c>
      <c r="J13" s="4">
        <v>735</v>
      </c>
      <c r="K13" s="4">
        <v>735</v>
      </c>
      <c r="L13" s="4">
        <v>735</v>
      </c>
      <c r="M13" s="4">
        <v>735</v>
      </c>
      <c r="N13" s="4">
        <v>735</v>
      </c>
      <c r="O13" s="4">
        <v>735</v>
      </c>
      <c r="P13" s="4">
        <v>735</v>
      </c>
      <c r="Q13" s="4">
        <v>735</v>
      </c>
      <c r="R13" s="4">
        <v>735</v>
      </c>
      <c r="S13" s="4">
        <v>735</v>
      </c>
      <c r="T13" s="4">
        <v>735</v>
      </c>
      <c r="U13" s="4">
        <v>735</v>
      </c>
      <c r="V13" s="4">
        <v>735</v>
      </c>
      <c r="W13" s="4">
        <v>735</v>
      </c>
      <c r="X13" s="4">
        <v>735</v>
      </c>
      <c r="Y13" s="4">
        <v>735</v>
      </c>
      <c r="Z13" s="4">
        <v>735</v>
      </c>
      <c r="AA13" s="4">
        <v>735</v>
      </c>
    </row>
    <row r="14" spans="1:27" x14ac:dyDescent="0.3">
      <c r="A14" s="3">
        <v>8</v>
      </c>
      <c r="B14" s="4" t="s">
        <v>17</v>
      </c>
      <c r="C14" s="4" t="s">
        <v>8</v>
      </c>
      <c r="D14" s="4">
        <v>618</v>
      </c>
      <c r="E14" s="4">
        <v>640</v>
      </c>
      <c r="F14" s="4">
        <v>663</v>
      </c>
      <c r="G14" s="4">
        <v>674</v>
      </c>
      <c r="H14" s="4">
        <v>683</v>
      </c>
      <c r="I14" s="4">
        <v>687</v>
      </c>
      <c r="J14" s="4">
        <v>691</v>
      </c>
      <c r="K14" s="4">
        <v>693</v>
      </c>
      <c r="L14" s="4">
        <v>694</v>
      </c>
      <c r="M14" s="4">
        <v>695</v>
      </c>
      <c r="N14" s="4">
        <v>695</v>
      </c>
      <c r="O14" s="4">
        <v>696</v>
      </c>
      <c r="P14" s="4">
        <v>696</v>
      </c>
      <c r="Q14" s="4">
        <v>696</v>
      </c>
      <c r="R14" s="4">
        <v>696</v>
      </c>
      <c r="S14" s="4">
        <v>696</v>
      </c>
      <c r="T14" s="4">
        <v>696</v>
      </c>
      <c r="U14" s="4">
        <v>696</v>
      </c>
      <c r="V14" s="4">
        <v>696</v>
      </c>
      <c r="W14" s="4">
        <v>696</v>
      </c>
      <c r="X14" s="4">
        <v>696</v>
      </c>
      <c r="Y14" s="4">
        <v>696</v>
      </c>
      <c r="Z14" s="4">
        <v>696</v>
      </c>
      <c r="AA14" s="4">
        <v>696</v>
      </c>
    </row>
    <row r="15" spans="1:27" x14ac:dyDescent="0.3">
      <c r="A15" s="3">
        <v>9</v>
      </c>
      <c r="B15" s="4" t="s">
        <v>18</v>
      </c>
      <c r="C15" s="4" t="s">
        <v>8</v>
      </c>
      <c r="D15" s="4">
        <v>589</v>
      </c>
      <c r="E15" s="4">
        <v>623</v>
      </c>
      <c r="F15" s="4">
        <v>645</v>
      </c>
      <c r="G15" s="4">
        <v>660</v>
      </c>
      <c r="H15" s="4">
        <v>669</v>
      </c>
      <c r="I15" s="4">
        <v>676</v>
      </c>
      <c r="J15" s="4">
        <v>680</v>
      </c>
      <c r="K15" s="4">
        <v>683</v>
      </c>
      <c r="L15" s="4">
        <v>685</v>
      </c>
      <c r="M15" s="4">
        <v>686</v>
      </c>
      <c r="N15" s="4">
        <v>687</v>
      </c>
      <c r="O15" s="4">
        <v>687</v>
      </c>
      <c r="P15" s="4">
        <v>688</v>
      </c>
      <c r="Q15" s="4">
        <v>688</v>
      </c>
      <c r="R15" s="4">
        <v>688</v>
      </c>
      <c r="S15" s="4">
        <v>688</v>
      </c>
      <c r="T15" s="4">
        <v>688</v>
      </c>
      <c r="U15" s="4">
        <v>688</v>
      </c>
      <c r="V15" s="4">
        <v>688</v>
      </c>
      <c r="W15" s="4">
        <v>688</v>
      </c>
      <c r="X15" s="4">
        <v>688</v>
      </c>
      <c r="Y15" s="4">
        <v>688</v>
      </c>
      <c r="Z15" s="4">
        <v>688</v>
      </c>
      <c r="AA15" s="4">
        <v>688</v>
      </c>
    </row>
    <row r="16" spans="1:27" x14ac:dyDescent="0.3">
      <c r="A16" s="3">
        <v>10</v>
      </c>
      <c r="B16" s="4" t="s">
        <v>19</v>
      </c>
      <c r="C16" s="4" t="s">
        <v>8</v>
      </c>
      <c r="D16" s="4">
        <v>829</v>
      </c>
      <c r="E16" s="4">
        <v>829</v>
      </c>
      <c r="F16" s="4">
        <v>829</v>
      </c>
      <c r="G16" s="4">
        <v>829</v>
      </c>
      <c r="H16" s="4">
        <v>829</v>
      </c>
      <c r="I16" s="4">
        <v>829</v>
      </c>
      <c r="J16" s="4">
        <v>829</v>
      </c>
      <c r="K16" s="4">
        <v>829</v>
      </c>
      <c r="L16" s="4">
        <v>829</v>
      </c>
      <c r="M16" s="4">
        <v>829</v>
      </c>
      <c r="N16" s="4">
        <v>829</v>
      </c>
      <c r="O16" s="4">
        <v>829</v>
      </c>
      <c r="P16" s="4">
        <v>829</v>
      </c>
      <c r="Q16" s="4">
        <v>829</v>
      </c>
      <c r="R16" s="4">
        <v>829</v>
      </c>
      <c r="S16" s="4">
        <v>829</v>
      </c>
      <c r="T16" s="4">
        <v>829</v>
      </c>
      <c r="U16" s="4">
        <v>829</v>
      </c>
      <c r="V16" s="4">
        <v>829</v>
      </c>
      <c r="W16" s="4">
        <v>829</v>
      </c>
      <c r="X16" s="4">
        <v>829</v>
      </c>
      <c r="Y16" s="4">
        <v>829</v>
      </c>
      <c r="Z16" s="4">
        <v>829</v>
      </c>
      <c r="AA16" s="4">
        <v>829</v>
      </c>
    </row>
    <row r="17" spans="1:27" x14ac:dyDescent="0.3">
      <c r="A17" s="3">
        <v>11</v>
      </c>
      <c r="B17" s="4" t="s">
        <v>20</v>
      </c>
      <c r="C17" s="4" t="s">
        <v>12</v>
      </c>
      <c r="D17" s="4">
        <v>632</v>
      </c>
      <c r="E17" s="4">
        <v>632</v>
      </c>
      <c r="F17" s="4">
        <v>632</v>
      </c>
      <c r="G17" s="4">
        <v>632</v>
      </c>
      <c r="H17" s="4">
        <v>632</v>
      </c>
      <c r="I17" s="4">
        <v>632</v>
      </c>
      <c r="J17" s="4">
        <v>632</v>
      </c>
      <c r="K17" s="4">
        <v>632</v>
      </c>
      <c r="L17" s="4">
        <v>632</v>
      </c>
      <c r="M17" s="4">
        <v>632</v>
      </c>
      <c r="N17" s="4">
        <v>632</v>
      </c>
      <c r="O17" s="4">
        <v>632</v>
      </c>
      <c r="P17" s="4">
        <v>632</v>
      </c>
      <c r="Q17" s="4">
        <v>632</v>
      </c>
      <c r="R17" s="4">
        <v>632</v>
      </c>
      <c r="S17" s="4">
        <v>632</v>
      </c>
      <c r="T17" s="4">
        <v>632</v>
      </c>
      <c r="U17" s="4">
        <v>632</v>
      </c>
      <c r="V17" s="4">
        <v>632</v>
      </c>
      <c r="W17" s="4">
        <v>632</v>
      </c>
      <c r="X17" s="4">
        <v>632</v>
      </c>
      <c r="Y17" s="4">
        <v>632</v>
      </c>
      <c r="Z17" s="4">
        <v>632</v>
      </c>
      <c r="AA17" s="4">
        <v>632</v>
      </c>
    </row>
    <row r="18" spans="1:27" x14ac:dyDescent="0.3">
      <c r="A18" s="3">
        <v>12</v>
      </c>
      <c r="B18" s="4" t="s">
        <v>21</v>
      </c>
      <c r="C18" s="4" t="s">
        <v>10</v>
      </c>
      <c r="D18" s="4">
        <v>675</v>
      </c>
      <c r="E18" s="4">
        <v>649</v>
      </c>
      <c r="F18" s="4">
        <v>567</v>
      </c>
      <c r="G18" s="4">
        <v>563</v>
      </c>
      <c r="H18" s="4">
        <v>629</v>
      </c>
      <c r="I18" s="4">
        <v>649</v>
      </c>
      <c r="J18" s="4">
        <v>598</v>
      </c>
      <c r="K18" s="4">
        <v>565</v>
      </c>
      <c r="L18" s="4">
        <v>599</v>
      </c>
      <c r="M18" s="4">
        <v>635</v>
      </c>
      <c r="N18" s="4">
        <v>616</v>
      </c>
      <c r="O18" s="4">
        <v>580</v>
      </c>
      <c r="P18" s="4">
        <v>586</v>
      </c>
      <c r="Q18" s="4">
        <v>618</v>
      </c>
      <c r="R18" s="4">
        <v>621</v>
      </c>
      <c r="S18" s="4">
        <v>595</v>
      </c>
      <c r="T18" s="4">
        <v>585</v>
      </c>
      <c r="U18" s="4">
        <v>604</v>
      </c>
      <c r="V18" s="4">
        <v>618</v>
      </c>
      <c r="W18" s="4">
        <v>605</v>
      </c>
      <c r="X18" s="4">
        <v>590</v>
      </c>
      <c r="Y18" s="4">
        <v>597</v>
      </c>
      <c r="Z18" s="4">
        <v>611</v>
      </c>
      <c r="AA18" s="4">
        <v>610</v>
      </c>
    </row>
    <row r="19" spans="1:27" x14ac:dyDescent="0.3">
      <c r="A19" s="3">
        <v>13</v>
      </c>
      <c r="B19" s="4" t="s">
        <v>22</v>
      </c>
      <c r="C19" s="4" t="s">
        <v>12</v>
      </c>
      <c r="D19" s="4">
        <v>552</v>
      </c>
      <c r="E19" s="4">
        <v>561</v>
      </c>
      <c r="F19" s="4">
        <v>583</v>
      </c>
      <c r="G19" s="4">
        <v>589</v>
      </c>
      <c r="H19" s="4">
        <v>595</v>
      </c>
      <c r="I19" s="4">
        <v>598</v>
      </c>
      <c r="J19" s="4">
        <v>601</v>
      </c>
      <c r="K19" s="4">
        <v>602</v>
      </c>
      <c r="L19" s="4">
        <v>603</v>
      </c>
      <c r="M19" s="4">
        <v>603</v>
      </c>
      <c r="N19" s="4">
        <v>603</v>
      </c>
      <c r="O19" s="4">
        <v>603</v>
      </c>
      <c r="P19" s="4">
        <v>604</v>
      </c>
      <c r="Q19" s="4">
        <v>604</v>
      </c>
      <c r="R19" s="4">
        <v>604</v>
      </c>
      <c r="S19" s="4">
        <v>604</v>
      </c>
      <c r="T19" s="4">
        <v>604</v>
      </c>
      <c r="U19" s="4">
        <v>604</v>
      </c>
      <c r="V19" s="4">
        <v>604</v>
      </c>
      <c r="W19" s="4">
        <v>604</v>
      </c>
      <c r="X19" s="4">
        <v>604</v>
      </c>
      <c r="Y19" s="4">
        <v>604</v>
      </c>
      <c r="Z19" s="4">
        <v>604</v>
      </c>
      <c r="AA19" s="4">
        <v>604</v>
      </c>
    </row>
    <row r="20" spans="1:27" x14ac:dyDescent="0.3">
      <c r="A20" s="3">
        <v>14</v>
      </c>
      <c r="B20" s="4" t="s">
        <v>23</v>
      </c>
      <c r="C20" s="4" t="s">
        <v>10</v>
      </c>
      <c r="D20" s="4">
        <v>514</v>
      </c>
      <c r="E20" s="4">
        <v>527</v>
      </c>
      <c r="F20" s="4">
        <v>547</v>
      </c>
      <c r="G20" s="4">
        <v>555</v>
      </c>
      <c r="H20" s="4">
        <v>561</v>
      </c>
      <c r="I20" s="4">
        <v>565</v>
      </c>
      <c r="J20" s="4">
        <v>567</v>
      </c>
      <c r="K20" s="4">
        <v>569</v>
      </c>
      <c r="L20" s="4">
        <v>570</v>
      </c>
      <c r="M20" s="4">
        <v>570</v>
      </c>
      <c r="N20" s="4">
        <v>571</v>
      </c>
      <c r="O20" s="4">
        <v>571</v>
      </c>
      <c r="P20" s="4">
        <v>571</v>
      </c>
      <c r="Q20" s="4">
        <v>571</v>
      </c>
      <c r="R20" s="4">
        <v>571</v>
      </c>
      <c r="S20" s="4">
        <v>571</v>
      </c>
      <c r="T20" s="4">
        <v>571</v>
      </c>
      <c r="U20" s="4">
        <v>571</v>
      </c>
      <c r="V20" s="4">
        <v>571</v>
      </c>
      <c r="W20" s="4">
        <v>571</v>
      </c>
      <c r="X20" s="4">
        <v>571</v>
      </c>
      <c r="Y20" s="4">
        <v>571</v>
      </c>
      <c r="Z20" s="4">
        <v>571</v>
      </c>
      <c r="AA20" s="4">
        <v>571</v>
      </c>
    </row>
    <row r="21" spans="1:27" x14ac:dyDescent="0.3">
      <c r="A21" s="3">
        <v>15</v>
      </c>
      <c r="B21" s="4" t="s">
        <v>24</v>
      </c>
      <c r="C21" s="4" t="s">
        <v>12</v>
      </c>
      <c r="D21" s="4">
        <v>602</v>
      </c>
      <c r="E21" s="4">
        <v>602</v>
      </c>
      <c r="F21" s="4">
        <v>602</v>
      </c>
      <c r="G21" s="4">
        <v>602</v>
      </c>
      <c r="H21" s="4">
        <v>602</v>
      </c>
      <c r="I21" s="4">
        <v>602</v>
      </c>
      <c r="J21" s="4">
        <v>602</v>
      </c>
      <c r="K21" s="4">
        <v>602</v>
      </c>
      <c r="L21" s="4">
        <v>602</v>
      </c>
      <c r="M21" s="4">
        <v>602</v>
      </c>
      <c r="N21" s="4">
        <v>602</v>
      </c>
      <c r="O21" s="4">
        <v>602</v>
      </c>
      <c r="P21" s="4">
        <v>602</v>
      </c>
      <c r="Q21" s="4">
        <v>602</v>
      </c>
      <c r="R21" s="4">
        <v>602</v>
      </c>
      <c r="S21" s="4">
        <v>602</v>
      </c>
      <c r="T21" s="4">
        <v>602</v>
      </c>
      <c r="U21" s="4">
        <v>602</v>
      </c>
      <c r="V21" s="4">
        <v>602</v>
      </c>
      <c r="W21" s="4">
        <v>602</v>
      </c>
      <c r="X21" s="4">
        <v>602</v>
      </c>
      <c r="Y21" s="4">
        <v>602</v>
      </c>
      <c r="Z21" s="4">
        <v>602</v>
      </c>
      <c r="AA21" s="4">
        <v>602</v>
      </c>
    </row>
    <row r="22" spans="1:27" x14ac:dyDescent="0.3">
      <c r="A22" s="3">
        <v>16</v>
      </c>
      <c r="B22" s="4" t="s">
        <v>25</v>
      </c>
      <c r="C22" s="4" t="s">
        <v>12</v>
      </c>
      <c r="D22" s="4">
        <v>600</v>
      </c>
      <c r="E22" s="4">
        <v>600</v>
      </c>
      <c r="F22" s="4">
        <v>600</v>
      </c>
      <c r="G22" s="4">
        <v>600</v>
      </c>
      <c r="H22" s="4">
        <v>600</v>
      </c>
      <c r="I22" s="4">
        <v>600</v>
      </c>
      <c r="J22" s="4">
        <v>600</v>
      </c>
      <c r="K22" s="4">
        <v>600</v>
      </c>
      <c r="L22" s="4">
        <v>600</v>
      </c>
      <c r="M22" s="4">
        <v>600</v>
      </c>
      <c r="N22" s="4">
        <v>600</v>
      </c>
      <c r="O22" s="4">
        <v>600</v>
      </c>
      <c r="P22" s="4">
        <v>600</v>
      </c>
      <c r="Q22" s="4">
        <v>600</v>
      </c>
      <c r="R22" s="4">
        <v>600</v>
      </c>
      <c r="S22" s="4">
        <v>600</v>
      </c>
      <c r="T22" s="4">
        <v>600</v>
      </c>
      <c r="U22" s="4">
        <v>600</v>
      </c>
      <c r="V22" s="4">
        <v>600</v>
      </c>
      <c r="W22" s="4">
        <v>600</v>
      </c>
      <c r="X22" s="4">
        <v>600</v>
      </c>
      <c r="Y22" s="4">
        <v>600</v>
      </c>
      <c r="Z22" s="4">
        <v>600</v>
      </c>
      <c r="AA22" s="4">
        <v>600</v>
      </c>
    </row>
    <row r="23" spans="1:27" x14ac:dyDescent="0.3">
      <c r="A23" s="3">
        <v>17</v>
      </c>
      <c r="B23" s="4" t="s">
        <v>26</v>
      </c>
      <c r="C23" s="4" t="s">
        <v>10</v>
      </c>
      <c r="D23" s="4">
        <v>514</v>
      </c>
      <c r="E23" s="4">
        <v>464</v>
      </c>
      <c r="F23" s="4">
        <v>635</v>
      </c>
      <c r="G23" s="4">
        <v>442</v>
      </c>
      <c r="H23" s="4">
        <v>632</v>
      </c>
      <c r="I23" s="4">
        <v>508</v>
      </c>
      <c r="J23" s="4">
        <v>560</v>
      </c>
      <c r="K23" s="4">
        <v>588</v>
      </c>
      <c r="L23" s="4">
        <v>508</v>
      </c>
      <c r="M23" s="4">
        <v>616</v>
      </c>
      <c r="N23" s="4">
        <v>514</v>
      </c>
      <c r="O23" s="4">
        <v>588</v>
      </c>
      <c r="P23" s="4">
        <v>556</v>
      </c>
      <c r="Q23" s="4">
        <v>547</v>
      </c>
      <c r="R23" s="4">
        <v>588</v>
      </c>
      <c r="S23" s="4">
        <v>531</v>
      </c>
      <c r="T23" s="4">
        <v>588</v>
      </c>
      <c r="U23" s="4">
        <v>545</v>
      </c>
      <c r="V23" s="4">
        <v>566</v>
      </c>
      <c r="W23" s="4">
        <v>568</v>
      </c>
      <c r="X23" s="4">
        <v>548</v>
      </c>
      <c r="Y23" s="4">
        <v>578</v>
      </c>
      <c r="Z23" s="4">
        <v>547</v>
      </c>
      <c r="AA23" s="4">
        <v>572</v>
      </c>
    </row>
    <row r="24" spans="1:27" x14ac:dyDescent="0.3">
      <c r="A24" s="3">
        <v>18</v>
      </c>
      <c r="B24" s="4" t="s">
        <v>27</v>
      </c>
      <c r="C24" s="4" t="s">
        <v>10</v>
      </c>
      <c r="D24" s="4">
        <v>401</v>
      </c>
      <c r="E24" s="4">
        <v>411</v>
      </c>
      <c r="F24" s="4">
        <v>426</v>
      </c>
      <c r="G24" s="4">
        <v>432</v>
      </c>
      <c r="H24" s="4">
        <v>438</v>
      </c>
      <c r="I24" s="4">
        <v>441</v>
      </c>
      <c r="J24" s="4">
        <v>443</v>
      </c>
      <c r="K24" s="4">
        <v>444</v>
      </c>
      <c r="L24" s="4">
        <v>445</v>
      </c>
      <c r="M24" s="4">
        <v>446</v>
      </c>
      <c r="N24" s="4">
        <v>446</v>
      </c>
      <c r="O24" s="4">
        <v>446</v>
      </c>
      <c r="P24" s="4">
        <v>446</v>
      </c>
      <c r="Q24" s="4">
        <v>447</v>
      </c>
      <c r="R24" s="4">
        <v>447</v>
      </c>
      <c r="S24" s="4">
        <v>447</v>
      </c>
      <c r="T24" s="4">
        <v>447</v>
      </c>
      <c r="U24" s="4">
        <v>447</v>
      </c>
      <c r="V24" s="4">
        <v>447</v>
      </c>
      <c r="W24" s="4">
        <v>447</v>
      </c>
      <c r="X24" s="4">
        <v>447</v>
      </c>
      <c r="Y24" s="4">
        <v>447</v>
      </c>
      <c r="Z24" s="4">
        <v>447</v>
      </c>
      <c r="AA24" s="4">
        <v>447</v>
      </c>
    </row>
    <row r="25" spans="1:27" x14ac:dyDescent="0.3">
      <c r="A25" s="3">
        <v>19</v>
      </c>
      <c r="B25" s="4" t="s">
        <v>28</v>
      </c>
      <c r="C25" s="4" t="s">
        <v>8</v>
      </c>
      <c r="D25" s="4">
        <v>369</v>
      </c>
      <c r="E25" s="4">
        <v>369</v>
      </c>
      <c r="F25" s="4">
        <v>369</v>
      </c>
      <c r="G25" s="4">
        <v>369</v>
      </c>
      <c r="H25" s="4">
        <v>369</v>
      </c>
      <c r="I25" s="4">
        <v>369</v>
      </c>
      <c r="J25" s="4">
        <v>369</v>
      </c>
      <c r="K25" s="4">
        <v>369</v>
      </c>
      <c r="L25" s="4">
        <v>369</v>
      </c>
      <c r="M25" s="4">
        <v>369</v>
      </c>
      <c r="N25" s="4">
        <v>369</v>
      </c>
      <c r="O25" s="4"/>
      <c r="P25" s="4"/>
      <c r="Q25" s="4">
        <v>369</v>
      </c>
      <c r="R25" s="4">
        <v>369</v>
      </c>
      <c r="S25" s="4"/>
      <c r="T25" s="4">
        <v>369</v>
      </c>
      <c r="U25" s="4">
        <v>369</v>
      </c>
      <c r="V25" s="4"/>
      <c r="W25" s="4"/>
      <c r="X25" s="4">
        <v>369</v>
      </c>
      <c r="Y25" s="4"/>
      <c r="Z25" s="4">
        <v>369</v>
      </c>
      <c r="AA25" s="4">
        <v>369</v>
      </c>
    </row>
    <row r="26" spans="1:27" x14ac:dyDescent="0.3">
      <c r="A26" s="3">
        <v>20</v>
      </c>
      <c r="B26" s="4" t="s">
        <v>29</v>
      </c>
      <c r="C26" s="4" t="s">
        <v>8</v>
      </c>
      <c r="D26" s="4">
        <v>395</v>
      </c>
      <c r="E26" s="4">
        <v>374</v>
      </c>
      <c r="F26" s="4">
        <v>403</v>
      </c>
      <c r="G26" s="4">
        <v>424</v>
      </c>
      <c r="H26" s="4">
        <v>407</v>
      </c>
      <c r="I26" s="4">
        <v>384</v>
      </c>
      <c r="J26" s="4">
        <v>390</v>
      </c>
      <c r="K26" s="4">
        <v>408</v>
      </c>
      <c r="L26" s="4">
        <v>407</v>
      </c>
      <c r="M26" s="4">
        <v>393</v>
      </c>
      <c r="N26" s="4">
        <v>389</v>
      </c>
      <c r="O26" s="4">
        <v>398</v>
      </c>
      <c r="P26" s="4">
        <v>403</v>
      </c>
      <c r="Q26" s="4">
        <v>397</v>
      </c>
      <c r="R26" s="4">
        <v>391</v>
      </c>
      <c r="S26" s="4">
        <v>394</v>
      </c>
      <c r="T26" s="4">
        <v>399</v>
      </c>
      <c r="U26" s="4">
        <v>398</v>
      </c>
      <c r="V26" s="4">
        <v>394</v>
      </c>
      <c r="W26" s="4">
        <v>393</v>
      </c>
      <c r="X26" s="4">
        <v>396</v>
      </c>
      <c r="Y26" s="4">
        <v>397</v>
      </c>
      <c r="Z26" s="4">
        <v>395</v>
      </c>
      <c r="AA26" s="4">
        <v>394</v>
      </c>
    </row>
    <row r="27" spans="1:27" x14ac:dyDescent="0.3">
      <c r="A27" s="3">
        <v>21</v>
      </c>
      <c r="B27" s="4" t="s">
        <v>30</v>
      </c>
      <c r="C27" s="4" t="s">
        <v>8</v>
      </c>
      <c r="D27" s="4">
        <v>414</v>
      </c>
      <c r="E27" s="4">
        <v>414</v>
      </c>
      <c r="F27" s="4">
        <v>414</v>
      </c>
      <c r="G27" s="4">
        <v>414</v>
      </c>
      <c r="H27" s="4">
        <v>414</v>
      </c>
      <c r="I27" s="4">
        <v>414</v>
      </c>
      <c r="J27" s="4">
        <v>414</v>
      </c>
      <c r="K27" s="4">
        <v>414</v>
      </c>
      <c r="L27" s="4">
        <v>414</v>
      </c>
      <c r="M27" s="4">
        <v>414</v>
      </c>
      <c r="N27" s="4">
        <v>414</v>
      </c>
      <c r="O27" s="4">
        <v>414</v>
      </c>
      <c r="P27" s="4">
        <v>414</v>
      </c>
      <c r="Q27" s="4">
        <v>414</v>
      </c>
      <c r="R27" s="4">
        <v>414</v>
      </c>
      <c r="S27" s="4">
        <v>414</v>
      </c>
      <c r="T27" s="4">
        <v>414</v>
      </c>
      <c r="U27" s="4">
        <v>414</v>
      </c>
      <c r="V27" s="4">
        <v>414</v>
      </c>
      <c r="W27" s="4">
        <v>414</v>
      </c>
      <c r="X27" s="4">
        <v>414</v>
      </c>
      <c r="Y27" s="4">
        <v>414</v>
      </c>
      <c r="Z27" s="4">
        <v>414</v>
      </c>
      <c r="AA27" s="4">
        <v>414</v>
      </c>
    </row>
    <row r="28" spans="1:27" x14ac:dyDescent="0.3">
      <c r="A28" s="3">
        <v>22</v>
      </c>
      <c r="B28" s="4" t="s">
        <v>31</v>
      </c>
      <c r="C28" s="4" t="s">
        <v>8</v>
      </c>
      <c r="D28" s="4">
        <v>367</v>
      </c>
      <c r="E28" s="4">
        <v>367</v>
      </c>
      <c r="F28" s="4">
        <v>367</v>
      </c>
      <c r="G28" s="4">
        <v>367</v>
      </c>
      <c r="H28" s="4">
        <v>367</v>
      </c>
      <c r="I28" s="4">
        <v>367</v>
      </c>
      <c r="J28" s="4">
        <v>367</v>
      </c>
      <c r="K28" s="4">
        <v>367</v>
      </c>
      <c r="L28" s="4">
        <v>367</v>
      </c>
      <c r="M28" s="4">
        <v>367</v>
      </c>
      <c r="N28" s="4">
        <v>367</v>
      </c>
      <c r="O28" s="4">
        <v>367</v>
      </c>
      <c r="P28" s="4">
        <v>367</v>
      </c>
      <c r="Q28" s="4">
        <v>367</v>
      </c>
      <c r="R28" s="4">
        <v>367</v>
      </c>
      <c r="S28" s="4">
        <v>367</v>
      </c>
      <c r="T28" s="4">
        <v>367</v>
      </c>
      <c r="U28" s="4">
        <v>367</v>
      </c>
      <c r="V28" s="4">
        <v>367</v>
      </c>
      <c r="W28" s="4">
        <v>367</v>
      </c>
      <c r="X28" s="4">
        <v>367</v>
      </c>
      <c r="Y28" s="4">
        <v>367</v>
      </c>
      <c r="Z28" s="4">
        <v>367</v>
      </c>
      <c r="AA28" s="4">
        <v>367</v>
      </c>
    </row>
    <row r="29" spans="1:27" x14ac:dyDescent="0.3">
      <c r="A29" s="3">
        <v>23</v>
      </c>
      <c r="B29" s="4" t="s">
        <v>32</v>
      </c>
      <c r="C29" s="4" t="s">
        <v>10</v>
      </c>
      <c r="D29" s="4"/>
      <c r="E29" s="4">
        <v>331</v>
      </c>
      <c r="F29" s="4">
        <v>331</v>
      </c>
      <c r="G29" s="4">
        <v>331</v>
      </c>
      <c r="H29" s="4">
        <v>331</v>
      </c>
      <c r="I29" s="4"/>
      <c r="J29" s="4"/>
      <c r="K29" s="4">
        <v>331</v>
      </c>
      <c r="L29" s="4">
        <v>331</v>
      </c>
      <c r="M29" s="4">
        <v>331</v>
      </c>
      <c r="N29" s="4"/>
      <c r="O29" s="4">
        <v>331</v>
      </c>
      <c r="P29" s="4">
        <v>331</v>
      </c>
      <c r="Q29" s="4"/>
      <c r="R29" s="4"/>
      <c r="S29" s="4">
        <v>331</v>
      </c>
      <c r="T29" s="4">
        <v>331</v>
      </c>
      <c r="U29" s="4">
        <v>331</v>
      </c>
      <c r="V29" s="4">
        <v>331</v>
      </c>
      <c r="W29" s="4">
        <v>331</v>
      </c>
      <c r="X29" s="4">
        <v>331</v>
      </c>
      <c r="Y29" s="4">
        <v>331</v>
      </c>
      <c r="Z29" s="4">
        <v>331</v>
      </c>
      <c r="AA29" s="4"/>
    </row>
    <row r="30" spans="1:27" x14ac:dyDescent="0.3">
      <c r="A30" s="3">
        <v>24</v>
      </c>
      <c r="B30" s="4" t="s">
        <v>33</v>
      </c>
      <c r="C30" s="4" t="s">
        <v>10</v>
      </c>
      <c r="D30" s="4">
        <v>482</v>
      </c>
      <c r="E30" s="4">
        <v>579</v>
      </c>
      <c r="F30" s="4">
        <v>579</v>
      </c>
      <c r="G30" s="4">
        <v>579</v>
      </c>
      <c r="H30" s="4">
        <v>579</v>
      </c>
      <c r="I30" s="4">
        <v>579</v>
      </c>
      <c r="J30" s="4">
        <v>579</v>
      </c>
      <c r="K30" s="4">
        <v>579</v>
      </c>
      <c r="L30" s="4">
        <v>579</v>
      </c>
      <c r="M30" s="4">
        <v>579</v>
      </c>
      <c r="N30" s="4">
        <v>579</v>
      </c>
      <c r="O30" s="4">
        <v>579</v>
      </c>
      <c r="P30" s="4">
        <v>579</v>
      </c>
      <c r="Q30" s="4">
        <v>579</v>
      </c>
      <c r="R30" s="4">
        <v>579</v>
      </c>
      <c r="S30" s="4">
        <v>579</v>
      </c>
      <c r="T30" s="4">
        <v>579</v>
      </c>
      <c r="U30" s="4">
        <v>579</v>
      </c>
      <c r="V30" s="4">
        <v>579</v>
      </c>
      <c r="W30" s="4">
        <v>579</v>
      </c>
      <c r="X30" s="4">
        <v>579</v>
      </c>
      <c r="Y30" s="4">
        <v>579</v>
      </c>
      <c r="Z30" s="4">
        <v>579</v>
      </c>
      <c r="AA30" s="4">
        <v>579</v>
      </c>
    </row>
    <row r="31" spans="1:27" x14ac:dyDescent="0.3">
      <c r="A31" s="3">
        <v>25</v>
      </c>
      <c r="B31" s="4" t="s">
        <v>34</v>
      </c>
      <c r="C31" s="4" t="s">
        <v>10</v>
      </c>
      <c r="D31" s="4">
        <v>225</v>
      </c>
      <c r="E31" s="4">
        <v>231</v>
      </c>
      <c r="F31" s="4">
        <v>239</v>
      </c>
      <c r="G31" s="4">
        <v>242</v>
      </c>
      <c r="H31" s="4">
        <v>245</v>
      </c>
      <c r="I31" s="4">
        <v>247</v>
      </c>
      <c r="J31" s="4">
        <v>248</v>
      </c>
      <c r="K31" s="4">
        <v>249</v>
      </c>
      <c r="L31" s="4">
        <v>249</v>
      </c>
      <c r="M31" s="4">
        <v>249</v>
      </c>
      <c r="N31" s="4">
        <v>250</v>
      </c>
      <c r="O31" s="4">
        <v>250</v>
      </c>
      <c r="P31" s="4">
        <v>250</v>
      </c>
      <c r="Q31" s="4">
        <v>250</v>
      </c>
      <c r="R31" s="4">
        <v>250</v>
      </c>
      <c r="S31" s="4">
        <v>250</v>
      </c>
      <c r="T31" s="4">
        <v>250</v>
      </c>
      <c r="U31" s="4">
        <v>250</v>
      </c>
      <c r="V31" s="4">
        <v>250</v>
      </c>
      <c r="W31" s="4">
        <v>250</v>
      </c>
      <c r="X31" s="4">
        <v>250</v>
      </c>
      <c r="Y31" s="4">
        <v>250</v>
      </c>
      <c r="Z31" s="4">
        <v>250</v>
      </c>
      <c r="AA31" s="4">
        <v>250</v>
      </c>
    </row>
    <row r="32" spans="1:27" x14ac:dyDescent="0.3">
      <c r="A32" s="3">
        <v>26</v>
      </c>
      <c r="B32" s="4" t="s">
        <v>35</v>
      </c>
      <c r="C32" s="4" t="s">
        <v>10</v>
      </c>
      <c r="D32" s="4">
        <v>189</v>
      </c>
      <c r="E32" s="4">
        <v>195</v>
      </c>
      <c r="F32" s="4">
        <v>200</v>
      </c>
      <c r="G32" s="4">
        <v>203</v>
      </c>
      <c r="H32" s="4">
        <v>205</v>
      </c>
      <c r="I32" s="4">
        <v>206</v>
      </c>
      <c r="J32" s="4">
        <v>206</v>
      </c>
      <c r="K32" s="4">
        <v>206</v>
      </c>
      <c r="L32" s="4">
        <v>207</v>
      </c>
      <c r="M32" s="4">
        <v>207</v>
      </c>
      <c r="N32" s="4">
        <v>207</v>
      </c>
      <c r="O32" s="4">
        <v>207</v>
      </c>
      <c r="P32" s="4">
        <v>207</v>
      </c>
      <c r="Q32" s="4">
        <v>207</v>
      </c>
      <c r="R32" s="4">
        <v>207</v>
      </c>
      <c r="S32" s="4">
        <v>207</v>
      </c>
      <c r="T32" s="4">
        <v>207</v>
      </c>
      <c r="U32" s="4">
        <v>207</v>
      </c>
      <c r="V32" s="4">
        <v>207</v>
      </c>
      <c r="W32" s="4">
        <v>207</v>
      </c>
      <c r="X32" s="4">
        <v>207</v>
      </c>
      <c r="Y32" s="4">
        <v>207</v>
      </c>
      <c r="Z32" s="4">
        <v>207</v>
      </c>
      <c r="AA32" s="4">
        <v>207</v>
      </c>
    </row>
    <row r="33" spans="1:27" x14ac:dyDescent="0.3">
      <c r="A33" s="3">
        <v>27</v>
      </c>
      <c r="B33" s="4" t="s">
        <v>36</v>
      </c>
      <c r="C33" s="4" t="s">
        <v>10</v>
      </c>
      <c r="D33" s="4">
        <v>419</v>
      </c>
      <c r="E33" s="4">
        <v>419</v>
      </c>
      <c r="F33" s="4">
        <v>419</v>
      </c>
      <c r="G33" s="4">
        <v>419</v>
      </c>
      <c r="H33" s="4">
        <v>419</v>
      </c>
      <c r="I33" s="4">
        <v>419</v>
      </c>
      <c r="J33" s="4">
        <v>419</v>
      </c>
      <c r="K33" s="4">
        <v>419</v>
      </c>
      <c r="L33" s="4">
        <v>419</v>
      </c>
      <c r="M33" s="4">
        <v>419</v>
      </c>
      <c r="N33" s="4">
        <v>419</v>
      </c>
      <c r="O33" s="4">
        <v>419</v>
      </c>
      <c r="P33" s="4">
        <v>419</v>
      </c>
      <c r="Q33" s="4">
        <v>419</v>
      </c>
      <c r="R33" s="4">
        <v>419</v>
      </c>
      <c r="S33" s="4">
        <v>419</v>
      </c>
      <c r="T33" s="4">
        <v>419</v>
      </c>
      <c r="U33" s="4">
        <v>419</v>
      </c>
      <c r="V33" s="4">
        <v>419</v>
      </c>
      <c r="W33" s="4">
        <v>419</v>
      </c>
      <c r="X33" s="4">
        <v>419</v>
      </c>
      <c r="Y33" s="4">
        <v>419</v>
      </c>
      <c r="Z33" s="4">
        <v>419</v>
      </c>
      <c r="AA33" s="4">
        <v>419</v>
      </c>
    </row>
    <row r="34" spans="1:27" x14ac:dyDescent="0.3">
      <c r="A34" s="3">
        <v>28</v>
      </c>
      <c r="B34" s="4" t="s">
        <v>37</v>
      </c>
      <c r="C34" s="4" t="s">
        <v>10</v>
      </c>
      <c r="D34" s="4">
        <v>166</v>
      </c>
      <c r="E34" s="4">
        <v>169</v>
      </c>
      <c r="F34" s="4">
        <v>175</v>
      </c>
      <c r="G34" s="4">
        <v>177</v>
      </c>
      <c r="H34" s="4">
        <v>179</v>
      </c>
      <c r="I34" s="4">
        <v>180</v>
      </c>
      <c r="J34" s="4">
        <v>180</v>
      </c>
      <c r="K34" s="4">
        <v>181</v>
      </c>
      <c r="L34" s="4">
        <v>181</v>
      </c>
      <c r="M34" s="4">
        <v>181</v>
      </c>
      <c r="N34" s="4">
        <v>181</v>
      </c>
      <c r="O34" s="4">
        <v>181</v>
      </c>
      <c r="P34" s="4">
        <v>181</v>
      </c>
      <c r="Q34" s="4">
        <v>181</v>
      </c>
      <c r="R34" s="4">
        <v>181</v>
      </c>
      <c r="S34" s="4">
        <v>181</v>
      </c>
      <c r="T34" s="4">
        <v>181</v>
      </c>
      <c r="U34" s="4">
        <v>181</v>
      </c>
      <c r="V34" s="4">
        <v>181</v>
      </c>
      <c r="W34" s="4">
        <v>181</v>
      </c>
      <c r="X34" s="4">
        <v>181</v>
      </c>
      <c r="Y34" s="4">
        <v>181</v>
      </c>
      <c r="Z34" s="4">
        <v>181</v>
      </c>
      <c r="AA34" s="4">
        <v>181</v>
      </c>
    </row>
    <row r="35" spans="1:27" x14ac:dyDescent="0.3">
      <c r="A35" s="3">
        <v>29</v>
      </c>
      <c r="B35" s="4" t="s">
        <v>38</v>
      </c>
      <c r="C35" s="4" t="s">
        <v>12</v>
      </c>
      <c r="D35" s="4">
        <v>163</v>
      </c>
      <c r="E35" s="4">
        <v>167</v>
      </c>
      <c r="F35" s="4">
        <v>174</v>
      </c>
      <c r="G35" s="4">
        <v>176</v>
      </c>
      <c r="H35" s="4">
        <v>178</v>
      </c>
      <c r="I35" s="4">
        <v>179</v>
      </c>
      <c r="J35" s="4">
        <v>180</v>
      </c>
      <c r="K35" s="4">
        <v>181</v>
      </c>
      <c r="L35" s="4">
        <v>181</v>
      </c>
      <c r="M35" s="4">
        <v>181</v>
      </c>
      <c r="N35" s="4">
        <v>181</v>
      </c>
      <c r="O35" s="4">
        <v>181</v>
      </c>
      <c r="P35" s="4">
        <v>181</v>
      </c>
      <c r="Q35" s="4">
        <v>181</v>
      </c>
      <c r="R35" s="4">
        <v>181</v>
      </c>
      <c r="S35" s="4">
        <v>181</v>
      </c>
      <c r="T35" s="4">
        <v>181</v>
      </c>
      <c r="U35" s="4">
        <v>181</v>
      </c>
      <c r="V35" s="4">
        <v>181</v>
      </c>
      <c r="W35" s="4">
        <v>181</v>
      </c>
      <c r="X35" s="4">
        <v>181</v>
      </c>
      <c r="Y35" s="4">
        <v>181</v>
      </c>
      <c r="Z35" s="4">
        <v>181</v>
      </c>
      <c r="AA35" s="4">
        <v>181</v>
      </c>
    </row>
    <row r="36" spans="1:27" x14ac:dyDescent="0.3">
      <c r="A36" s="3">
        <v>30</v>
      </c>
      <c r="B36" s="4" t="s">
        <v>39</v>
      </c>
      <c r="C36" s="4" t="s">
        <v>12</v>
      </c>
      <c r="D36" s="4">
        <v>135</v>
      </c>
      <c r="E36" s="4">
        <v>135</v>
      </c>
      <c r="F36" s="4">
        <v>135</v>
      </c>
      <c r="G36" s="4">
        <v>135</v>
      </c>
      <c r="H36" s="4">
        <v>135</v>
      </c>
      <c r="I36" s="4">
        <v>135</v>
      </c>
      <c r="J36" s="4">
        <v>135</v>
      </c>
      <c r="K36" s="4"/>
      <c r="L36" s="4">
        <v>135</v>
      </c>
      <c r="M36" s="4"/>
      <c r="N36" s="4"/>
      <c r="O36" s="4">
        <v>135</v>
      </c>
      <c r="P36" s="4">
        <v>135</v>
      </c>
      <c r="Q36" s="4">
        <v>135</v>
      </c>
      <c r="R36" s="4">
        <v>135</v>
      </c>
      <c r="S36" s="4">
        <v>135</v>
      </c>
      <c r="T36" s="4">
        <v>135</v>
      </c>
      <c r="U36" s="4">
        <v>135</v>
      </c>
      <c r="V36" s="4">
        <v>135</v>
      </c>
      <c r="W36" s="4">
        <v>135</v>
      </c>
      <c r="X36" s="4">
        <v>135</v>
      </c>
      <c r="Y36" s="4">
        <v>135</v>
      </c>
      <c r="Z36" s="4">
        <v>135</v>
      </c>
      <c r="AA36" s="4">
        <v>135</v>
      </c>
    </row>
    <row r="37" spans="1:27" x14ac:dyDescent="0.3">
      <c r="A37" s="3">
        <v>31</v>
      </c>
      <c r="B37" s="4" t="s">
        <v>40</v>
      </c>
      <c r="C37" s="4" t="s">
        <v>12</v>
      </c>
      <c r="D37" s="4">
        <v>123</v>
      </c>
      <c r="E37" s="4">
        <v>123</v>
      </c>
      <c r="F37" s="4">
        <v>123</v>
      </c>
      <c r="G37" s="4">
        <v>123</v>
      </c>
      <c r="H37" s="4">
        <v>123</v>
      </c>
      <c r="I37" s="4">
        <v>123</v>
      </c>
      <c r="J37" s="4">
        <v>123</v>
      </c>
      <c r="K37" s="4">
        <v>123</v>
      </c>
      <c r="L37" s="4">
        <v>123</v>
      </c>
      <c r="M37" s="4">
        <v>123</v>
      </c>
      <c r="N37" s="4">
        <v>123</v>
      </c>
      <c r="O37" s="4">
        <v>123</v>
      </c>
      <c r="P37" s="4">
        <v>123</v>
      </c>
      <c r="Q37" s="4">
        <v>123</v>
      </c>
      <c r="R37" s="4">
        <v>123</v>
      </c>
      <c r="S37" s="4">
        <v>123</v>
      </c>
      <c r="T37" s="4">
        <v>123</v>
      </c>
      <c r="U37" s="4">
        <v>123</v>
      </c>
      <c r="V37" s="4">
        <v>123</v>
      </c>
      <c r="W37" s="4">
        <v>123</v>
      </c>
      <c r="X37" s="4">
        <v>123</v>
      </c>
      <c r="Y37" s="4">
        <v>123</v>
      </c>
      <c r="Z37" s="4">
        <v>123</v>
      </c>
      <c r="AA37" s="4">
        <v>123</v>
      </c>
    </row>
    <row r="38" spans="1:27" x14ac:dyDescent="0.3">
      <c r="A38" s="3">
        <v>32</v>
      </c>
      <c r="B38" s="4" t="s">
        <v>41</v>
      </c>
      <c r="C38" s="4" t="s">
        <v>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>
        <v>5</v>
      </c>
      <c r="P38" s="4">
        <v>5</v>
      </c>
      <c r="Q38" s="4"/>
      <c r="R38" s="4"/>
      <c r="S38" s="4">
        <v>5</v>
      </c>
      <c r="T38" s="4"/>
      <c r="U38" s="4"/>
      <c r="V38" s="4">
        <v>5</v>
      </c>
      <c r="W38" s="4">
        <v>5</v>
      </c>
      <c r="X38" s="4"/>
      <c r="Y38" s="4">
        <v>5</v>
      </c>
      <c r="Z38" s="4"/>
      <c r="AA38" s="4"/>
    </row>
    <row r="39" spans="1:27" x14ac:dyDescent="0.3">
      <c r="A39" s="3">
        <v>33</v>
      </c>
      <c r="B39" s="4" t="s">
        <v>42</v>
      </c>
      <c r="C39" s="4" t="s">
        <v>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>
        <v>3</v>
      </c>
      <c r="P39" s="4"/>
      <c r="Q39" s="4"/>
      <c r="R39" s="4"/>
      <c r="S39" s="4">
        <v>3</v>
      </c>
      <c r="T39" s="4"/>
      <c r="U39" s="4"/>
      <c r="V39" s="4">
        <v>3</v>
      </c>
      <c r="W39" s="4">
        <v>3</v>
      </c>
      <c r="X39" s="4"/>
      <c r="Y39" s="4"/>
      <c r="Z39" s="4"/>
      <c r="AA39" s="4"/>
    </row>
    <row r="40" spans="1:27" x14ac:dyDescent="0.3">
      <c r="A40" s="3">
        <v>34</v>
      </c>
      <c r="B40" s="4" t="s">
        <v>43</v>
      </c>
      <c r="C40" s="4" t="s">
        <v>10</v>
      </c>
      <c r="D40" s="4">
        <v>67</v>
      </c>
      <c r="E40" s="4">
        <v>55</v>
      </c>
      <c r="F40" s="4">
        <v>71</v>
      </c>
      <c r="G40" s="4">
        <v>59</v>
      </c>
      <c r="H40" s="4">
        <v>73</v>
      </c>
      <c r="I40" s="4">
        <v>61</v>
      </c>
      <c r="J40" s="4">
        <v>73</v>
      </c>
      <c r="K40" s="4">
        <v>61</v>
      </c>
      <c r="L40" s="4">
        <v>74</v>
      </c>
      <c r="M40" s="4">
        <v>61</v>
      </c>
      <c r="N40" s="4">
        <v>74</v>
      </c>
      <c r="O40" s="4">
        <v>61</v>
      </c>
      <c r="P40" s="4">
        <v>74</v>
      </c>
      <c r="Q40" s="4">
        <v>61</v>
      </c>
      <c r="R40" s="4">
        <v>74</v>
      </c>
      <c r="S40" s="4">
        <v>61</v>
      </c>
      <c r="T40" s="4">
        <v>74</v>
      </c>
      <c r="U40" s="4">
        <v>61</v>
      </c>
      <c r="V40" s="4">
        <v>74</v>
      </c>
      <c r="W40" s="4">
        <v>61</v>
      </c>
      <c r="X40" s="4">
        <v>74</v>
      </c>
      <c r="Y40" s="4">
        <v>61</v>
      </c>
      <c r="Z40" s="4">
        <v>74</v>
      </c>
      <c r="AA40" s="4">
        <v>61</v>
      </c>
    </row>
    <row r="41" spans="1:27" x14ac:dyDescent="0.3">
      <c r="A41" s="3">
        <v>35</v>
      </c>
      <c r="B41" s="4" t="s">
        <v>44</v>
      </c>
      <c r="C41" s="4" t="s">
        <v>10</v>
      </c>
      <c r="D41" s="4"/>
      <c r="E41" s="4">
        <v>2</v>
      </c>
      <c r="F41" s="4"/>
      <c r="G41" s="4">
        <v>2</v>
      </c>
      <c r="H41" s="4">
        <v>2</v>
      </c>
      <c r="I41" s="4">
        <v>2</v>
      </c>
      <c r="J41" s="4">
        <v>2</v>
      </c>
      <c r="K41" s="4">
        <v>2</v>
      </c>
      <c r="L41" s="4"/>
      <c r="M41" s="4">
        <v>2</v>
      </c>
      <c r="N41" s="4">
        <v>2</v>
      </c>
      <c r="O41" s="4"/>
      <c r="P41" s="4">
        <v>2</v>
      </c>
      <c r="Q41" s="4"/>
      <c r="R41" s="4">
        <v>2</v>
      </c>
      <c r="S41" s="4">
        <v>2</v>
      </c>
      <c r="T41" s="4">
        <v>2</v>
      </c>
      <c r="U41" s="4"/>
      <c r="V41" s="4">
        <v>2</v>
      </c>
      <c r="W41" s="4">
        <v>2</v>
      </c>
      <c r="X41" s="4">
        <v>2</v>
      </c>
      <c r="Y41" s="4">
        <v>2</v>
      </c>
      <c r="Z41" s="4">
        <v>2</v>
      </c>
      <c r="AA41" s="4"/>
    </row>
    <row r="42" spans="1:27" x14ac:dyDescent="0.3">
      <c r="A42" s="3">
        <v>36</v>
      </c>
      <c r="B42" s="4" t="s">
        <v>45</v>
      </c>
      <c r="C42" s="4" t="s">
        <v>12</v>
      </c>
      <c r="D42" s="4">
        <v>4</v>
      </c>
      <c r="E42" s="4"/>
      <c r="F42" s="4"/>
      <c r="G42" s="4"/>
      <c r="H42" s="4">
        <v>4</v>
      </c>
      <c r="I42" s="4"/>
      <c r="J42" s="4"/>
      <c r="K42" s="4">
        <v>4</v>
      </c>
      <c r="L42" s="4">
        <v>4</v>
      </c>
      <c r="M42" s="4"/>
      <c r="N42" s="4"/>
      <c r="O42" s="4">
        <v>4</v>
      </c>
      <c r="P42" s="4">
        <v>4</v>
      </c>
      <c r="Q42" s="4"/>
      <c r="R42" s="4">
        <v>4</v>
      </c>
      <c r="S42" s="4">
        <v>4</v>
      </c>
      <c r="T42" s="4">
        <v>4</v>
      </c>
      <c r="U42" s="4">
        <v>4</v>
      </c>
      <c r="V42" s="4">
        <v>4</v>
      </c>
      <c r="W42" s="4"/>
      <c r="X42" s="4"/>
      <c r="Y42" s="4">
        <v>4</v>
      </c>
      <c r="Z42" s="4"/>
      <c r="AA42" s="4">
        <v>4</v>
      </c>
    </row>
    <row r="43" spans="1:27" x14ac:dyDescent="0.3">
      <c r="A43" s="3">
        <v>37</v>
      </c>
      <c r="B43" s="4" t="s">
        <v>46</v>
      </c>
      <c r="C43" s="4" t="s">
        <v>12</v>
      </c>
      <c r="D43" s="4">
        <v>128</v>
      </c>
      <c r="E43" s="4">
        <v>125</v>
      </c>
      <c r="F43" s="4">
        <v>133</v>
      </c>
      <c r="G43" s="4">
        <v>137</v>
      </c>
      <c r="H43" s="4">
        <v>137</v>
      </c>
      <c r="I43" s="4">
        <v>137</v>
      </c>
      <c r="J43" s="4">
        <v>137</v>
      </c>
      <c r="K43" s="4">
        <v>137</v>
      </c>
      <c r="L43" s="4">
        <v>137</v>
      </c>
      <c r="M43" s="4">
        <v>137</v>
      </c>
      <c r="N43" s="4">
        <v>137</v>
      </c>
      <c r="O43" s="4">
        <v>137</v>
      </c>
      <c r="P43" s="4">
        <v>137</v>
      </c>
      <c r="Q43" s="4">
        <v>137</v>
      </c>
      <c r="R43" s="4">
        <v>137</v>
      </c>
      <c r="S43" s="4">
        <v>137</v>
      </c>
      <c r="T43" s="4">
        <v>137</v>
      </c>
      <c r="U43" s="4">
        <v>137</v>
      </c>
      <c r="V43" s="4">
        <v>137</v>
      </c>
      <c r="W43" s="4">
        <v>137</v>
      </c>
      <c r="X43" s="4">
        <v>137</v>
      </c>
      <c r="Y43" s="4">
        <v>137</v>
      </c>
      <c r="Z43" s="4">
        <v>137</v>
      </c>
      <c r="AA43" s="4">
        <v>137</v>
      </c>
    </row>
    <row r="44" spans="1:27" x14ac:dyDescent="0.3">
      <c r="A44" s="3">
        <v>38</v>
      </c>
      <c r="B44" s="4" t="s">
        <v>47</v>
      </c>
      <c r="C44" s="4" t="s">
        <v>10</v>
      </c>
      <c r="D44" s="4"/>
      <c r="E44" s="4"/>
      <c r="F44" s="4"/>
      <c r="G44" s="4"/>
      <c r="H44" s="4"/>
      <c r="I44" s="4">
        <v>2</v>
      </c>
      <c r="J44" s="4"/>
      <c r="K44" s="4"/>
      <c r="L44" s="4"/>
      <c r="M44" s="4"/>
      <c r="N44" s="4"/>
      <c r="O44" s="4"/>
      <c r="P44" s="4">
        <v>2</v>
      </c>
      <c r="Q44" s="4"/>
      <c r="R44" s="4">
        <v>2</v>
      </c>
      <c r="S44" s="4">
        <v>2</v>
      </c>
      <c r="T44" s="4"/>
      <c r="U44" s="4"/>
      <c r="V44" s="4"/>
      <c r="W44" s="4">
        <v>2</v>
      </c>
      <c r="X44" s="4">
        <v>2</v>
      </c>
      <c r="Y44" s="4">
        <v>2</v>
      </c>
      <c r="Z44" s="4"/>
      <c r="AA44" s="4"/>
    </row>
    <row r="45" spans="1:27" x14ac:dyDescent="0.3">
      <c r="A45" s="3">
        <v>39</v>
      </c>
      <c r="B45" s="4" t="s">
        <v>48</v>
      </c>
      <c r="C45" s="4" t="s">
        <v>10</v>
      </c>
      <c r="D45" s="4"/>
      <c r="E45" s="4">
        <v>3</v>
      </c>
      <c r="F45" s="4"/>
      <c r="G45" s="4"/>
      <c r="H45" s="4">
        <v>3</v>
      </c>
      <c r="I45" s="4">
        <v>3</v>
      </c>
      <c r="J45" s="4">
        <v>3</v>
      </c>
      <c r="K45" s="4">
        <v>3</v>
      </c>
      <c r="L45" s="4"/>
      <c r="M45" s="4">
        <v>3</v>
      </c>
      <c r="N45" s="4"/>
      <c r="O45" s="4">
        <v>3</v>
      </c>
      <c r="P45" s="4">
        <v>3</v>
      </c>
      <c r="Q45" s="4"/>
      <c r="R45" s="4"/>
      <c r="S45" s="4">
        <v>3</v>
      </c>
      <c r="T45" s="4"/>
      <c r="U45" s="4"/>
      <c r="V45" s="4">
        <v>3</v>
      </c>
      <c r="W45" s="4">
        <v>3</v>
      </c>
      <c r="X45" s="4">
        <v>3</v>
      </c>
      <c r="Y45" s="4">
        <v>3</v>
      </c>
      <c r="Z45" s="4">
        <v>3</v>
      </c>
      <c r="AA45" s="4">
        <v>3</v>
      </c>
    </row>
    <row r="46" spans="1:27" x14ac:dyDescent="0.3">
      <c r="A46" s="3">
        <v>40</v>
      </c>
      <c r="B46" s="4" t="s">
        <v>49</v>
      </c>
      <c r="C46" s="4" t="s">
        <v>10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>
        <v>7</v>
      </c>
      <c r="P46" s="4">
        <v>7</v>
      </c>
      <c r="Q46" s="4"/>
      <c r="R46" s="4"/>
      <c r="S46" s="4">
        <v>7</v>
      </c>
      <c r="T46" s="4"/>
      <c r="U46" s="4"/>
      <c r="V46" s="4">
        <v>7</v>
      </c>
      <c r="W46" s="4">
        <v>7</v>
      </c>
      <c r="X46" s="4"/>
      <c r="Y46" s="4">
        <v>7</v>
      </c>
      <c r="Z46" s="4"/>
      <c r="AA46" s="4"/>
    </row>
    <row r="47" spans="1:27" x14ac:dyDescent="0.3">
      <c r="A47" s="3">
        <v>41</v>
      </c>
      <c r="B47" s="4" t="s">
        <v>50</v>
      </c>
      <c r="C47" s="4" t="s">
        <v>10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>
        <v>7</v>
      </c>
      <c r="P47" s="4">
        <v>7</v>
      </c>
      <c r="Q47" s="4"/>
      <c r="R47" s="4"/>
      <c r="S47" s="4">
        <v>7</v>
      </c>
      <c r="T47" s="4"/>
      <c r="U47" s="4"/>
      <c r="V47" s="4">
        <v>7</v>
      </c>
      <c r="W47" s="4">
        <v>7</v>
      </c>
      <c r="X47" s="4"/>
      <c r="Y47" s="4">
        <v>7</v>
      </c>
      <c r="Z47" s="4"/>
      <c r="AA47" s="4"/>
    </row>
    <row r="48" spans="1:27" x14ac:dyDescent="0.3">
      <c r="A48" s="3">
        <v>42</v>
      </c>
      <c r="B48" s="4" t="s">
        <v>51</v>
      </c>
      <c r="C48" s="4" t="s">
        <v>12</v>
      </c>
      <c r="D48" s="4">
        <v>105</v>
      </c>
      <c r="E48" s="4">
        <v>109</v>
      </c>
      <c r="F48" s="4">
        <v>103</v>
      </c>
      <c r="G48" s="4">
        <v>105</v>
      </c>
      <c r="H48" s="4">
        <v>103</v>
      </c>
      <c r="I48" s="4">
        <v>103</v>
      </c>
      <c r="J48" s="4">
        <v>103</v>
      </c>
      <c r="K48" s="4">
        <v>103</v>
      </c>
      <c r="L48" s="4">
        <v>103</v>
      </c>
      <c r="M48" s="4">
        <v>103</v>
      </c>
      <c r="N48" s="4">
        <v>103</v>
      </c>
      <c r="O48" s="4">
        <v>103</v>
      </c>
      <c r="P48" s="4">
        <v>103</v>
      </c>
      <c r="Q48" s="4">
        <v>103</v>
      </c>
      <c r="R48" s="4">
        <v>103</v>
      </c>
      <c r="S48" s="4">
        <v>103</v>
      </c>
      <c r="T48" s="4">
        <v>103</v>
      </c>
      <c r="U48" s="4">
        <v>103</v>
      </c>
      <c r="V48" s="4">
        <v>103</v>
      </c>
      <c r="W48" s="4">
        <v>103</v>
      </c>
      <c r="X48" s="4">
        <v>103</v>
      </c>
      <c r="Y48" s="4">
        <v>103</v>
      </c>
      <c r="Z48" s="4">
        <v>103</v>
      </c>
      <c r="AA48" s="4">
        <v>103</v>
      </c>
    </row>
    <row r="49" spans="1:27" x14ac:dyDescent="0.3">
      <c r="A49" s="3">
        <v>43</v>
      </c>
      <c r="B49" s="4" t="s">
        <v>52</v>
      </c>
      <c r="C49" s="4" t="s">
        <v>10</v>
      </c>
      <c r="D49" s="4">
        <v>75</v>
      </c>
      <c r="E49" s="4">
        <v>76</v>
      </c>
      <c r="F49" s="4">
        <v>79</v>
      </c>
      <c r="G49" s="4">
        <v>80</v>
      </c>
      <c r="H49" s="4">
        <v>82</v>
      </c>
      <c r="I49" s="4">
        <v>82</v>
      </c>
      <c r="J49" s="4">
        <v>82</v>
      </c>
      <c r="K49" s="4">
        <v>83</v>
      </c>
      <c r="L49" s="4">
        <v>83</v>
      </c>
      <c r="M49" s="4">
        <v>83</v>
      </c>
      <c r="N49" s="4">
        <v>83</v>
      </c>
      <c r="O49" s="4">
        <v>83</v>
      </c>
      <c r="P49" s="4">
        <v>83</v>
      </c>
      <c r="Q49" s="4">
        <v>83</v>
      </c>
      <c r="R49" s="4">
        <v>83</v>
      </c>
      <c r="S49" s="4">
        <v>83</v>
      </c>
      <c r="T49" s="4">
        <v>83</v>
      </c>
      <c r="U49" s="4">
        <v>83</v>
      </c>
      <c r="V49" s="4">
        <v>83</v>
      </c>
      <c r="W49" s="4">
        <v>83</v>
      </c>
      <c r="X49" s="4">
        <v>83</v>
      </c>
      <c r="Y49" s="4">
        <v>83</v>
      </c>
      <c r="Z49" s="4">
        <v>83</v>
      </c>
      <c r="AA49" s="4">
        <v>83</v>
      </c>
    </row>
    <row r="50" spans="1:27" x14ac:dyDescent="0.3">
      <c r="A50" s="3">
        <v>44</v>
      </c>
      <c r="B50" s="4" t="s">
        <v>53</v>
      </c>
      <c r="C50" s="4" t="s">
        <v>12</v>
      </c>
      <c r="D50" s="4"/>
      <c r="E50" s="4">
        <v>3</v>
      </c>
      <c r="F50" s="4"/>
      <c r="G50" s="4"/>
      <c r="H50" s="4"/>
      <c r="I50" s="4"/>
      <c r="J50" s="4"/>
      <c r="K50" s="4">
        <v>3</v>
      </c>
      <c r="L50" s="4">
        <v>3</v>
      </c>
      <c r="M50" s="4">
        <v>3</v>
      </c>
      <c r="N50" s="4"/>
      <c r="O50" s="4">
        <v>3</v>
      </c>
      <c r="P50" s="4">
        <v>3</v>
      </c>
      <c r="Q50" s="4">
        <v>3</v>
      </c>
      <c r="R50" s="4">
        <v>3</v>
      </c>
      <c r="S50" s="4">
        <v>3</v>
      </c>
      <c r="T50" s="4">
        <v>3</v>
      </c>
      <c r="U50" s="4">
        <v>3</v>
      </c>
      <c r="V50" s="4">
        <v>3</v>
      </c>
      <c r="W50" s="4">
        <v>3</v>
      </c>
      <c r="X50" s="4">
        <v>3</v>
      </c>
      <c r="Y50" s="4">
        <v>3</v>
      </c>
      <c r="Z50" s="4"/>
      <c r="AA50" s="4"/>
    </row>
    <row r="51" spans="1:27" x14ac:dyDescent="0.3">
      <c r="A51" s="3">
        <v>45</v>
      </c>
      <c r="B51" s="4" t="s">
        <v>54</v>
      </c>
      <c r="C51" s="4" t="s">
        <v>8</v>
      </c>
      <c r="D51" s="4"/>
      <c r="E51" s="4"/>
      <c r="F51" s="4"/>
      <c r="G51" s="4"/>
      <c r="H51" s="4">
        <v>4</v>
      </c>
      <c r="I51" s="4"/>
      <c r="J51" s="4"/>
      <c r="K51" s="4"/>
      <c r="L51" s="4"/>
      <c r="M51" s="4"/>
      <c r="N51" s="4">
        <v>4</v>
      </c>
      <c r="O51" s="4">
        <v>4</v>
      </c>
      <c r="P51" s="4">
        <v>4</v>
      </c>
      <c r="Q51" s="4">
        <v>4</v>
      </c>
      <c r="R51" s="4">
        <v>4</v>
      </c>
      <c r="S51" s="4">
        <v>4</v>
      </c>
      <c r="T51" s="4">
        <v>4</v>
      </c>
      <c r="U51" s="4"/>
      <c r="V51" s="4">
        <v>4</v>
      </c>
      <c r="W51" s="4">
        <v>4</v>
      </c>
      <c r="X51" s="4"/>
      <c r="Y51" s="4">
        <v>4</v>
      </c>
      <c r="Z51" s="4">
        <v>4</v>
      </c>
      <c r="AA51" s="4">
        <v>4</v>
      </c>
    </row>
    <row r="52" spans="1:27" x14ac:dyDescent="0.3">
      <c r="A52" s="3">
        <v>46</v>
      </c>
      <c r="B52" s="4" t="s">
        <v>55</v>
      </c>
      <c r="C52" s="4" t="s">
        <v>10</v>
      </c>
      <c r="D52" s="4">
        <v>86</v>
      </c>
      <c r="E52" s="4">
        <v>74</v>
      </c>
      <c r="F52" s="4">
        <v>90</v>
      </c>
      <c r="G52" s="4">
        <v>76</v>
      </c>
      <c r="H52" s="4">
        <v>90</v>
      </c>
      <c r="I52" s="4">
        <v>76</v>
      </c>
      <c r="J52" s="4">
        <v>90</v>
      </c>
      <c r="K52" s="4">
        <v>76</v>
      </c>
      <c r="L52" s="4">
        <v>90</v>
      </c>
      <c r="M52" s="4">
        <v>77</v>
      </c>
      <c r="N52" s="4">
        <v>90</v>
      </c>
      <c r="O52" s="4">
        <v>77</v>
      </c>
      <c r="P52" s="4">
        <v>90</v>
      </c>
      <c r="Q52" s="4">
        <v>77</v>
      </c>
      <c r="R52" s="4">
        <v>90</v>
      </c>
      <c r="S52" s="4">
        <v>77</v>
      </c>
      <c r="T52" s="4">
        <v>90</v>
      </c>
      <c r="U52" s="4">
        <v>77</v>
      </c>
      <c r="V52" s="4">
        <v>90</v>
      </c>
      <c r="W52" s="4">
        <v>77</v>
      </c>
      <c r="X52" s="4">
        <v>90</v>
      </c>
      <c r="Y52" s="4">
        <v>77</v>
      </c>
      <c r="Z52" s="4">
        <v>89</v>
      </c>
      <c r="AA52" s="4">
        <v>77</v>
      </c>
    </row>
    <row r="53" spans="1:27" x14ac:dyDescent="0.3">
      <c r="A53" s="3">
        <v>47</v>
      </c>
      <c r="B53" s="4" t="s">
        <v>56</v>
      </c>
      <c r="C53" s="4" t="s">
        <v>8</v>
      </c>
      <c r="D53" s="4">
        <v>3</v>
      </c>
      <c r="E53" s="4"/>
      <c r="F53" s="4"/>
      <c r="G53" s="4">
        <v>3</v>
      </c>
      <c r="H53" s="4"/>
      <c r="I53" s="4">
        <v>3</v>
      </c>
      <c r="J53" s="4"/>
      <c r="K53" s="4">
        <v>3</v>
      </c>
      <c r="L53" s="4"/>
      <c r="M53" s="4">
        <v>3</v>
      </c>
      <c r="N53" s="4"/>
      <c r="O53" s="4">
        <v>3</v>
      </c>
      <c r="P53" s="4">
        <v>3</v>
      </c>
      <c r="Q53" s="4"/>
      <c r="R53" s="4">
        <v>3</v>
      </c>
      <c r="S53" s="4">
        <v>3</v>
      </c>
      <c r="T53" s="4"/>
      <c r="U53" s="4"/>
      <c r="V53" s="4">
        <v>3</v>
      </c>
      <c r="W53" s="4">
        <v>3</v>
      </c>
      <c r="X53" s="4"/>
      <c r="Y53" s="4">
        <v>3</v>
      </c>
      <c r="Z53" s="4">
        <v>3</v>
      </c>
      <c r="AA53" s="4"/>
    </row>
    <row r="54" spans="1:27" x14ac:dyDescent="0.3">
      <c r="A54" s="3">
        <v>48</v>
      </c>
      <c r="B54" s="4" t="s">
        <v>57</v>
      </c>
      <c r="C54" s="4" t="s">
        <v>12</v>
      </c>
      <c r="D54" s="4">
        <v>116</v>
      </c>
      <c r="E54" s="4">
        <v>116</v>
      </c>
      <c r="F54" s="4">
        <v>116</v>
      </c>
      <c r="G54" s="4">
        <v>116</v>
      </c>
      <c r="H54" s="4">
        <v>116</v>
      </c>
      <c r="I54" s="4">
        <v>116</v>
      </c>
      <c r="J54" s="4">
        <v>116</v>
      </c>
      <c r="K54" s="4">
        <v>116</v>
      </c>
      <c r="L54" s="4">
        <v>116</v>
      </c>
      <c r="M54" s="4">
        <v>116</v>
      </c>
      <c r="N54" s="4">
        <v>116</v>
      </c>
      <c r="O54" s="4">
        <v>116</v>
      </c>
      <c r="P54" s="4">
        <v>116</v>
      </c>
      <c r="Q54" s="4">
        <v>116</v>
      </c>
      <c r="R54" s="4">
        <v>116</v>
      </c>
      <c r="S54" s="4">
        <v>116</v>
      </c>
      <c r="T54" s="4">
        <v>116</v>
      </c>
      <c r="U54" s="4">
        <v>116</v>
      </c>
      <c r="V54" s="4">
        <v>116</v>
      </c>
      <c r="W54" s="4">
        <v>116</v>
      </c>
      <c r="X54" s="4">
        <v>116</v>
      </c>
      <c r="Y54" s="4">
        <v>116</v>
      </c>
      <c r="Z54" s="4">
        <v>116</v>
      </c>
      <c r="AA54" s="4">
        <v>116</v>
      </c>
    </row>
    <row r="55" spans="1:27" x14ac:dyDescent="0.3">
      <c r="A55" s="3">
        <v>49</v>
      </c>
      <c r="B55" s="4" t="s">
        <v>58</v>
      </c>
      <c r="C55" s="4" t="s">
        <v>10</v>
      </c>
      <c r="D55" s="4">
        <v>2</v>
      </c>
      <c r="E55" s="4"/>
      <c r="F55" s="4"/>
      <c r="G55" s="4"/>
      <c r="H55" s="4">
        <v>2</v>
      </c>
      <c r="I55" s="4">
        <v>2</v>
      </c>
      <c r="J55" s="4">
        <v>2</v>
      </c>
      <c r="K55" s="4">
        <v>2</v>
      </c>
      <c r="L55" s="4"/>
      <c r="M55" s="4"/>
      <c r="N55" s="4"/>
      <c r="O55" s="4">
        <v>2</v>
      </c>
      <c r="P55" s="4">
        <v>2</v>
      </c>
      <c r="Q55" s="4">
        <v>2</v>
      </c>
      <c r="R55" s="4"/>
      <c r="S55" s="4">
        <v>2</v>
      </c>
      <c r="T55" s="4">
        <v>2</v>
      </c>
      <c r="U55" s="4">
        <v>2</v>
      </c>
      <c r="V55" s="4">
        <v>2</v>
      </c>
      <c r="W55" s="4">
        <v>2</v>
      </c>
      <c r="X55" s="4">
        <v>2</v>
      </c>
      <c r="Y55" s="4">
        <v>2</v>
      </c>
      <c r="Z55" s="4">
        <v>2</v>
      </c>
      <c r="AA55" s="4">
        <v>2</v>
      </c>
    </row>
    <row r="56" spans="1:27" x14ac:dyDescent="0.3">
      <c r="A56" s="3">
        <v>50</v>
      </c>
      <c r="B56" s="4" t="s">
        <v>59</v>
      </c>
      <c r="C56" s="4" t="s">
        <v>8</v>
      </c>
      <c r="D56" s="4">
        <v>45</v>
      </c>
      <c r="E56" s="4">
        <v>45</v>
      </c>
      <c r="F56" s="4">
        <v>45</v>
      </c>
      <c r="G56" s="4">
        <v>45</v>
      </c>
      <c r="H56" s="4">
        <v>45</v>
      </c>
      <c r="I56" s="4">
        <v>45</v>
      </c>
      <c r="J56" s="4">
        <v>45</v>
      </c>
      <c r="K56" s="4">
        <v>45</v>
      </c>
      <c r="L56" s="4">
        <v>45</v>
      </c>
      <c r="M56" s="4">
        <v>45</v>
      </c>
      <c r="N56" s="4">
        <v>45</v>
      </c>
      <c r="O56" s="4">
        <v>45</v>
      </c>
      <c r="P56" s="4">
        <v>45</v>
      </c>
      <c r="Q56" s="4">
        <v>45</v>
      </c>
      <c r="R56" s="4">
        <v>45</v>
      </c>
      <c r="S56" s="4">
        <v>45</v>
      </c>
      <c r="T56" s="4">
        <v>45</v>
      </c>
      <c r="U56" s="4">
        <v>45</v>
      </c>
      <c r="V56" s="4">
        <v>45</v>
      </c>
      <c r="W56" s="4">
        <v>45</v>
      </c>
      <c r="X56" s="4">
        <v>45</v>
      </c>
      <c r="Y56" s="4">
        <v>45</v>
      </c>
      <c r="Z56" s="4">
        <v>45</v>
      </c>
      <c r="AA56" s="4">
        <v>45</v>
      </c>
    </row>
    <row r="57" spans="1:27" x14ac:dyDescent="0.3">
      <c r="A57" s="3">
        <v>51</v>
      </c>
      <c r="B57" s="4" t="s">
        <v>60</v>
      </c>
      <c r="C57" s="4" t="s">
        <v>8</v>
      </c>
      <c r="D57" s="4">
        <v>68</v>
      </c>
      <c r="E57" s="4"/>
      <c r="F57" s="4"/>
      <c r="G57" s="4"/>
      <c r="H57" s="4"/>
      <c r="I57" s="4"/>
      <c r="J57" s="4"/>
      <c r="K57" s="4">
        <v>68</v>
      </c>
      <c r="L57" s="4"/>
      <c r="M57" s="4"/>
      <c r="N57" s="4">
        <v>68</v>
      </c>
      <c r="O57" s="4">
        <v>68</v>
      </c>
      <c r="P57" s="4">
        <v>68</v>
      </c>
      <c r="Q57" s="4">
        <v>68</v>
      </c>
      <c r="R57" s="4">
        <v>68</v>
      </c>
      <c r="S57" s="4">
        <v>68</v>
      </c>
      <c r="T57" s="4"/>
      <c r="U57" s="4"/>
      <c r="V57" s="4">
        <v>68</v>
      </c>
      <c r="W57" s="4">
        <v>68</v>
      </c>
      <c r="X57" s="4"/>
      <c r="Y57" s="4">
        <v>68</v>
      </c>
      <c r="Z57" s="4"/>
      <c r="AA57" s="4">
        <v>68</v>
      </c>
    </row>
    <row r="58" spans="1:27" x14ac:dyDescent="0.3">
      <c r="A58" s="3">
        <v>52</v>
      </c>
      <c r="B58" s="4" t="s">
        <v>61</v>
      </c>
      <c r="C58" s="4" t="s">
        <v>10</v>
      </c>
      <c r="D58" s="4">
        <v>77</v>
      </c>
      <c r="E58" s="4">
        <v>77</v>
      </c>
      <c r="F58" s="4">
        <v>77</v>
      </c>
      <c r="G58" s="4">
        <v>77</v>
      </c>
      <c r="H58" s="4">
        <v>77</v>
      </c>
      <c r="I58" s="4">
        <v>77</v>
      </c>
      <c r="J58" s="4">
        <v>77</v>
      </c>
      <c r="K58" s="4">
        <v>77</v>
      </c>
      <c r="L58" s="4">
        <v>77</v>
      </c>
      <c r="M58" s="4">
        <v>77</v>
      </c>
      <c r="N58" s="4">
        <v>77</v>
      </c>
      <c r="O58" s="4">
        <v>77</v>
      </c>
      <c r="P58" s="4">
        <v>77</v>
      </c>
      <c r="Q58" s="4">
        <v>77</v>
      </c>
      <c r="R58" s="4">
        <v>77</v>
      </c>
      <c r="S58" s="4">
        <v>77</v>
      </c>
      <c r="T58" s="4">
        <v>77</v>
      </c>
      <c r="U58" s="4">
        <v>77</v>
      </c>
      <c r="V58" s="4">
        <v>77</v>
      </c>
      <c r="W58" s="4">
        <v>77</v>
      </c>
      <c r="X58" s="4">
        <v>77</v>
      </c>
      <c r="Y58" s="4">
        <v>77</v>
      </c>
      <c r="Z58" s="4">
        <v>77</v>
      </c>
      <c r="AA58" s="4">
        <v>77</v>
      </c>
    </row>
    <row r="59" spans="1:27" x14ac:dyDescent="0.3">
      <c r="A59" s="3">
        <v>53</v>
      </c>
      <c r="B59" s="4" t="s">
        <v>62</v>
      </c>
      <c r="C59" s="4" t="s">
        <v>12</v>
      </c>
      <c r="D59" s="4">
        <v>94</v>
      </c>
      <c r="E59" s="4">
        <v>100</v>
      </c>
      <c r="F59" s="4">
        <v>102</v>
      </c>
      <c r="G59" s="4">
        <v>102</v>
      </c>
      <c r="H59" s="4">
        <v>102</v>
      </c>
      <c r="I59" s="4">
        <v>102</v>
      </c>
      <c r="J59" s="4">
        <v>102</v>
      </c>
      <c r="K59" s="4">
        <v>102</v>
      </c>
      <c r="L59" s="4">
        <v>102</v>
      </c>
      <c r="M59" s="4">
        <v>102</v>
      </c>
      <c r="N59" s="4">
        <v>102</v>
      </c>
      <c r="O59" s="4">
        <v>102</v>
      </c>
      <c r="P59" s="4">
        <v>102</v>
      </c>
      <c r="Q59" s="4">
        <v>102</v>
      </c>
      <c r="R59" s="4">
        <v>102</v>
      </c>
      <c r="S59" s="4">
        <v>102</v>
      </c>
      <c r="T59" s="4">
        <v>102</v>
      </c>
      <c r="U59" s="4">
        <v>102</v>
      </c>
      <c r="V59" s="4">
        <v>102</v>
      </c>
      <c r="W59" s="4">
        <v>102</v>
      </c>
      <c r="X59" s="4">
        <v>102</v>
      </c>
      <c r="Y59" s="4">
        <v>102</v>
      </c>
      <c r="Z59" s="4">
        <v>102</v>
      </c>
      <c r="AA59" s="4">
        <v>102</v>
      </c>
    </row>
    <row r="60" spans="1:27" x14ac:dyDescent="0.3">
      <c r="A60" s="3">
        <v>54</v>
      </c>
      <c r="B60" s="4" t="s">
        <v>63</v>
      </c>
      <c r="C60" s="4" t="s">
        <v>12</v>
      </c>
      <c r="D60" s="4">
        <v>4</v>
      </c>
      <c r="E60" s="4"/>
      <c r="F60" s="4"/>
      <c r="G60" s="4">
        <v>4</v>
      </c>
      <c r="H60" s="4"/>
      <c r="I60" s="4">
        <v>4</v>
      </c>
      <c r="J60" s="4"/>
      <c r="K60" s="4">
        <v>4</v>
      </c>
      <c r="L60" s="4"/>
      <c r="M60" s="4">
        <v>4</v>
      </c>
      <c r="N60" s="4"/>
      <c r="O60" s="4">
        <v>4</v>
      </c>
      <c r="P60" s="4">
        <v>4</v>
      </c>
      <c r="Q60" s="4"/>
      <c r="R60" s="4">
        <v>4</v>
      </c>
      <c r="S60" s="4"/>
      <c r="T60" s="4"/>
      <c r="U60" s="4"/>
      <c r="V60" s="4">
        <v>4</v>
      </c>
      <c r="W60" s="4">
        <v>4</v>
      </c>
      <c r="X60" s="4"/>
      <c r="Y60" s="4">
        <v>4</v>
      </c>
      <c r="Z60" s="4">
        <v>4</v>
      </c>
      <c r="AA60" s="4">
        <v>4</v>
      </c>
    </row>
    <row r="61" spans="1:27" x14ac:dyDescent="0.3">
      <c r="A61" s="3">
        <v>55</v>
      </c>
      <c r="B61" s="4" t="s">
        <v>64</v>
      </c>
      <c r="C61" s="4" t="s">
        <v>10</v>
      </c>
      <c r="D61" s="4">
        <v>2</v>
      </c>
      <c r="E61" s="4">
        <v>2</v>
      </c>
      <c r="F61" s="4"/>
      <c r="G61" s="4">
        <v>2</v>
      </c>
      <c r="H61" s="4">
        <v>2</v>
      </c>
      <c r="I61" s="4">
        <v>2</v>
      </c>
      <c r="J61" s="4">
        <v>2</v>
      </c>
      <c r="K61" s="4"/>
      <c r="L61" s="4">
        <v>2</v>
      </c>
      <c r="M61" s="4">
        <v>2</v>
      </c>
      <c r="N61" s="4">
        <v>2</v>
      </c>
      <c r="O61" s="4">
        <v>2</v>
      </c>
      <c r="P61" s="4">
        <v>2</v>
      </c>
      <c r="Q61" s="4">
        <v>2</v>
      </c>
      <c r="R61" s="4">
        <v>2</v>
      </c>
      <c r="S61" s="4">
        <v>2</v>
      </c>
      <c r="T61" s="4">
        <v>2</v>
      </c>
      <c r="U61" s="4"/>
      <c r="V61" s="4">
        <v>2</v>
      </c>
      <c r="W61" s="4">
        <v>2</v>
      </c>
      <c r="X61" s="4">
        <v>2</v>
      </c>
      <c r="Y61" s="4">
        <v>2</v>
      </c>
      <c r="Z61" s="4">
        <v>2</v>
      </c>
      <c r="AA61" s="4">
        <v>2</v>
      </c>
    </row>
    <row r="62" spans="1:27" ht="26.1" customHeight="1" x14ac:dyDescent="0.3">
      <c r="A62" s="15" t="s">
        <v>90</v>
      </c>
      <c r="B62" s="5" t="s">
        <v>8</v>
      </c>
      <c r="C62" s="6" t="s">
        <v>91</v>
      </c>
      <c r="D62" s="7">
        <f t="shared" ref="D62:AA62" si="0">SUMIF($C$7:$C$61,$B$62,D$7:D$61)</f>
        <v>5710</v>
      </c>
      <c r="E62" s="7">
        <f t="shared" si="0"/>
        <v>5770</v>
      </c>
      <c r="F62" s="7">
        <f t="shared" si="0"/>
        <v>5983</v>
      </c>
      <c r="G62" s="7">
        <f t="shared" si="0"/>
        <v>6087</v>
      </c>
      <c r="H62" s="7">
        <f t="shared" si="0"/>
        <v>6118</v>
      </c>
      <c r="I62" s="7">
        <f t="shared" si="0"/>
        <v>6118</v>
      </c>
      <c r="J62" s="7">
        <f t="shared" si="0"/>
        <v>6135</v>
      </c>
      <c r="K62" s="7">
        <f t="shared" si="0"/>
        <v>6232</v>
      </c>
      <c r="L62" s="7">
        <f t="shared" si="0"/>
        <v>6164</v>
      </c>
      <c r="M62" s="7">
        <f t="shared" si="0"/>
        <v>6157</v>
      </c>
      <c r="N62" s="7">
        <f t="shared" si="0"/>
        <v>6223</v>
      </c>
      <c r="O62" s="7">
        <f t="shared" si="0"/>
        <v>5875</v>
      </c>
      <c r="P62" s="7">
        <f t="shared" si="0"/>
        <v>5878</v>
      </c>
      <c r="Q62" s="7">
        <f t="shared" si="0"/>
        <v>6233</v>
      </c>
      <c r="R62" s="7">
        <f t="shared" si="0"/>
        <v>6230</v>
      </c>
      <c r="S62" s="7">
        <f t="shared" si="0"/>
        <v>5872</v>
      </c>
      <c r="T62" s="7">
        <f t="shared" si="0"/>
        <v>6167</v>
      </c>
      <c r="U62" s="7">
        <f t="shared" si="0"/>
        <v>6162</v>
      </c>
      <c r="V62" s="7">
        <f t="shared" si="0"/>
        <v>5872</v>
      </c>
      <c r="W62" s="7">
        <f t="shared" si="0"/>
        <v>5871</v>
      </c>
      <c r="X62" s="7">
        <f t="shared" si="0"/>
        <v>6160</v>
      </c>
      <c r="Y62" s="7">
        <f t="shared" si="0"/>
        <v>5872</v>
      </c>
      <c r="Z62" s="7">
        <f t="shared" si="0"/>
        <v>6166</v>
      </c>
      <c r="AA62" s="7">
        <f t="shared" si="0"/>
        <v>6230</v>
      </c>
    </row>
    <row r="63" spans="1:27" ht="24" customHeight="1" x14ac:dyDescent="0.3">
      <c r="A63" s="16"/>
      <c r="B63" s="8" t="s">
        <v>12</v>
      </c>
      <c r="C63" s="6" t="s">
        <v>92</v>
      </c>
      <c r="D63" s="9">
        <f t="shared" ref="D63:AA63" si="1">SUMIF($C$7:$C$61,$B$63,D$7:D$61)</f>
        <v>6095</v>
      </c>
      <c r="E63" s="9">
        <f t="shared" si="1"/>
        <v>6122</v>
      </c>
      <c r="F63" s="9">
        <f t="shared" si="1"/>
        <v>6181</v>
      </c>
      <c r="G63" s="9">
        <f t="shared" si="1"/>
        <v>6207</v>
      </c>
      <c r="H63" s="9">
        <f t="shared" si="1"/>
        <v>6223</v>
      </c>
      <c r="I63" s="9">
        <f t="shared" si="1"/>
        <v>6231</v>
      </c>
      <c r="J63" s="9">
        <f t="shared" si="1"/>
        <v>6235</v>
      </c>
      <c r="K63" s="9">
        <f t="shared" si="1"/>
        <v>6114</v>
      </c>
      <c r="L63" s="9">
        <f t="shared" si="1"/>
        <v>6248</v>
      </c>
      <c r="M63" s="9">
        <f t="shared" si="1"/>
        <v>6114</v>
      </c>
      <c r="N63" s="9">
        <f t="shared" si="1"/>
        <v>6107</v>
      </c>
      <c r="O63" s="9">
        <f t="shared" si="1"/>
        <v>6253</v>
      </c>
      <c r="P63" s="9">
        <f t="shared" si="1"/>
        <v>6255</v>
      </c>
      <c r="Q63" s="9">
        <f t="shared" si="1"/>
        <v>6247</v>
      </c>
      <c r="R63" s="9">
        <f t="shared" si="1"/>
        <v>6255</v>
      </c>
      <c r="S63" s="9">
        <f t="shared" si="1"/>
        <v>6251</v>
      </c>
      <c r="T63" s="9">
        <f t="shared" si="1"/>
        <v>6251</v>
      </c>
      <c r="U63" s="9">
        <f t="shared" si="1"/>
        <v>6251</v>
      </c>
      <c r="V63" s="9">
        <f t="shared" si="1"/>
        <v>6255</v>
      </c>
      <c r="W63" s="9">
        <f t="shared" si="1"/>
        <v>6251</v>
      </c>
      <c r="X63" s="9">
        <f t="shared" si="1"/>
        <v>6247</v>
      </c>
      <c r="Y63" s="9">
        <f t="shared" si="1"/>
        <v>6255</v>
      </c>
      <c r="Z63" s="9">
        <f t="shared" si="1"/>
        <v>6248</v>
      </c>
      <c r="AA63" s="9">
        <f t="shared" si="1"/>
        <v>6252</v>
      </c>
    </row>
    <row r="64" spans="1:27" ht="26.1" customHeight="1" x14ac:dyDescent="0.3">
      <c r="A64" s="17"/>
      <c r="B64" s="8" t="s">
        <v>10</v>
      </c>
      <c r="C64" s="6" t="s">
        <v>93</v>
      </c>
      <c r="D64" s="9">
        <f t="shared" ref="D64:AA64" si="2">SUMIF($C$7:$C$61,$B$64,D$7:D$61)</f>
        <v>5962</v>
      </c>
      <c r="E64" s="9">
        <f t="shared" si="2"/>
        <v>6377</v>
      </c>
      <c r="F64" s="9">
        <f t="shared" si="2"/>
        <v>6589</v>
      </c>
      <c r="G64" s="9">
        <f t="shared" si="2"/>
        <v>6410</v>
      </c>
      <c r="H64" s="9">
        <f t="shared" si="2"/>
        <v>6731</v>
      </c>
      <c r="I64" s="9">
        <f t="shared" si="2"/>
        <v>6288</v>
      </c>
      <c r="J64" s="9">
        <f t="shared" si="2"/>
        <v>6321</v>
      </c>
      <c r="K64" s="9">
        <f t="shared" si="2"/>
        <v>6627</v>
      </c>
      <c r="L64" s="9">
        <f t="shared" si="2"/>
        <v>6607</v>
      </c>
      <c r="M64" s="9">
        <f t="shared" si="2"/>
        <v>6731</v>
      </c>
      <c r="N64" s="9">
        <f t="shared" si="2"/>
        <v>6304</v>
      </c>
      <c r="O64" s="9">
        <f t="shared" si="2"/>
        <v>6665</v>
      </c>
      <c r="P64" s="9">
        <f t="shared" si="2"/>
        <v>6669</v>
      </c>
      <c r="Q64" s="9">
        <f t="shared" si="2"/>
        <v>6315</v>
      </c>
      <c r="R64" s="9">
        <f t="shared" si="2"/>
        <v>6387</v>
      </c>
      <c r="S64" s="9">
        <f t="shared" si="2"/>
        <v>6628</v>
      </c>
      <c r="T64" s="9">
        <f t="shared" si="2"/>
        <v>6682</v>
      </c>
      <c r="U64" s="9">
        <f t="shared" si="2"/>
        <v>6628</v>
      </c>
      <c r="V64" s="9">
        <f t="shared" si="2"/>
        <v>6710</v>
      </c>
      <c r="W64" s="9">
        <f t="shared" si="2"/>
        <v>6675</v>
      </c>
      <c r="X64" s="9">
        <f t="shared" si="2"/>
        <v>6652</v>
      </c>
      <c r="Y64" s="9">
        <f t="shared" si="2"/>
        <v>6677</v>
      </c>
      <c r="Z64" s="9">
        <f t="shared" si="2"/>
        <v>6669</v>
      </c>
      <c r="AA64" s="9">
        <f t="shared" si="2"/>
        <v>6335</v>
      </c>
    </row>
    <row r="65" spans="3:27" ht="21" customHeight="1" x14ac:dyDescent="0.3">
      <c r="C65" s="6" t="s">
        <v>94</v>
      </c>
      <c r="D65" s="9">
        <f t="shared" ref="D65:AA65" si="3">D62/0.6+D63/0.66+D64/0.72</f>
        <v>27032.070707070707</v>
      </c>
      <c r="E65" s="10">
        <f t="shared" si="3"/>
        <v>27749.368686868689</v>
      </c>
      <c r="F65" s="10">
        <f t="shared" si="3"/>
        <v>28488.207070707074</v>
      </c>
      <c r="G65" s="10">
        <f t="shared" si="3"/>
        <v>28452.323232323233</v>
      </c>
      <c r="H65" s="10">
        <f t="shared" si="3"/>
        <v>28974.065656565654</v>
      </c>
      <c r="I65" s="10">
        <f t="shared" si="3"/>
        <v>28370.909090909096</v>
      </c>
      <c r="J65" s="10">
        <f t="shared" si="3"/>
        <v>28451.136363636364</v>
      </c>
      <c r="K65" s="10">
        <f t="shared" si="3"/>
        <v>28854.4696969697</v>
      </c>
      <c r="L65" s="10">
        <f t="shared" si="3"/>
        <v>28916.388888888891</v>
      </c>
      <c r="M65" s="10">
        <f t="shared" si="3"/>
        <v>28873.914141414141</v>
      </c>
      <c r="N65" s="10">
        <f t="shared" si="3"/>
        <v>28380.252525252523</v>
      </c>
      <c r="O65" s="10">
        <f t="shared" si="3"/>
        <v>28522.853535353537</v>
      </c>
      <c r="P65" s="10">
        <f t="shared" si="3"/>
        <v>28536.439393939392</v>
      </c>
      <c r="Q65" s="10">
        <f t="shared" si="3"/>
        <v>28624.318181818184</v>
      </c>
      <c r="R65" s="10">
        <f t="shared" si="3"/>
        <v>28731.439393939392</v>
      </c>
      <c r="S65" s="10">
        <f t="shared" si="3"/>
        <v>28463.434343434346</v>
      </c>
      <c r="T65" s="10">
        <f t="shared" si="3"/>
        <v>29030.101010101011</v>
      </c>
      <c r="U65" s="10">
        <f t="shared" si="3"/>
        <v>28946.767676767675</v>
      </c>
      <c r="V65" s="10">
        <f t="shared" si="3"/>
        <v>28583.383838383837</v>
      </c>
      <c r="W65" s="10">
        <f t="shared" si="3"/>
        <v>28527.045454545456</v>
      </c>
      <c r="X65" s="10">
        <f t="shared" si="3"/>
        <v>28970.707070707074</v>
      </c>
      <c r="Y65" s="10">
        <f t="shared" si="3"/>
        <v>28537.550505050502</v>
      </c>
      <c r="Z65" s="10">
        <f t="shared" si="3"/>
        <v>29005.833333333336</v>
      </c>
      <c r="AA65" s="10">
        <f t="shared" si="3"/>
        <v>28654.671717171717</v>
      </c>
    </row>
    <row r="66" spans="3:27" ht="35.1" customHeight="1" x14ac:dyDescent="0.3">
      <c r="C66" s="11" t="s">
        <v>96</v>
      </c>
      <c r="D66" s="12">
        <f t="shared" ref="D66:AA66" si="4">(D65)/28200</f>
        <v>0.95858406762662085</v>
      </c>
      <c r="E66" s="12">
        <f t="shared" si="4"/>
        <v>0.9840201662010174</v>
      </c>
      <c r="F66" s="12">
        <f t="shared" si="4"/>
        <v>1.0102201088903218</v>
      </c>
      <c r="G66" s="12">
        <f t="shared" si="4"/>
        <v>1.0089476323518878</v>
      </c>
      <c r="H66" s="12">
        <f t="shared" si="4"/>
        <v>1.0274491367576473</v>
      </c>
      <c r="I66" s="12">
        <f t="shared" si="4"/>
        <v>1.0060606060606063</v>
      </c>
      <c r="J66" s="12">
        <f t="shared" si="4"/>
        <v>1.0089055448098001</v>
      </c>
      <c r="K66" s="12">
        <f t="shared" si="4"/>
        <v>1.0232081452826134</v>
      </c>
      <c r="L66" s="12">
        <f t="shared" si="4"/>
        <v>1.0254038613081167</v>
      </c>
      <c r="M66" s="12">
        <f t="shared" si="4"/>
        <v>1.023897664589154</v>
      </c>
      <c r="N66" s="12">
        <f t="shared" si="4"/>
        <v>1.006391933519593</v>
      </c>
      <c r="O66" s="12">
        <f t="shared" si="4"/>
        <v>1.0114487069274305</v>
      </c>
      <c r="P66" s="12">
        <f t="shared" si="4"/>
        <v>1.0119304749623899</v>
      </c>
      <c r="Q66" s="12">
        <f t="shared" si="4"/>
        <v>1.0150467440361057</v>
      </c>
      <c r="R66" s="12">
        <f t="shared" si="4"/>
        <v>1.018845368579411</v>
      </c>
      <c r="S66" s="12">
        <f t="shared" si="4"/>
        <v>1.0093416433841966</v>
      </c>
      <c r="T66" s="12">
        <f t="shared" si="4"/>
        <v>1.0294362060319506</v>
      </c>
      <c r="U66" s="12">
        <f t="shared" si="4"/>
        <v>1.0264811232896338</v>
      </c>
      <c r="V66" s="12">
        <f t="shared" si="4"/>
        <v>1.0135951715738949</v>
      </c>
      <c r="W66" s="12">
        <f t="shared" si="4"/>
        <v>1.0115973565441652</v>
      </c>
      <c r="X66" s="12">
        <f t="shared" si="4"/>
        <v>1.0273300379683359</v>
      </c>
      <c r="Y66" s="12">
        <f t="shared" si="4"/>
        <v>1.0119698760656206</v>
      </c>
      <c r="Z66" s="12">
        <f t="shared" si="4"/>
        <v>1.0285756501182033</v>
      </c>
      <c r="AA66" s="12">
        <f t="shared" si="4"/>
        <v>1.0161231105380042</v>
      </c>
    </row>
    <row r="67" spans="3:27" ht="42.95" customHeight="1" x14ac:dyDescent="0.3">
      <c r="C67" s="11" t="s">
        <v>97</v>
      </c>
      <c r="D67" s="12">
        <f>COUNTIF(D66:AA66,"&gt;=1")</f>
        <v>22</v>
      </c>
    </row>
  </sheetData>
  <mergeCells count="1">
    <mergeCell ref="A62:A64"/>
  </mergeCells>
  <phoneticPr fontId="6" type="noConversion"/>
  <pageMargins left="0.75" right="0.75" top="1" bottom="1" header="0.5" footer="0.5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问题1的结果</vt:lpstr>
      <vt:lpstr>问题2的订购方案</vt:lpstr>
      <vt:lpstr>问题3的供应方案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齐鑫 许</cp:lastModifiedBy>
  <dcterms:created xsi:type="dcterms:W3CDTF">2021-08-07T03:41:00Z</dcterms:created>
  <dcterms:modified xsi:type="dcterms:W3CDTF">2026-07-28T12:48:18Z</dcterms:modified>
</cp:coreProperties>
</file>