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4年建模\模块培训\模块培训赛题\2024D附件\"/>
    </mc:Choice>
  </mc:AlternateContent>
  <bookViews>
    <workbookView xWindow="0" yWindow="0" windowWidth="20130" windowHeight="10095" activeTab="1"/>
  </bookViews>
  <sheets>
    <sheet name="问题1的结果" sheetId="4" r:id="rId1"/>
    <sheet name="问题2的订购方案" sheetId="5" r:id="rId2"/>
    <sheet name="问题3的供应方案" sheetId="6" r:id="rId3"/>
  </sheets>
  <calcPr calcId="162913"/>
</workbook>
</file>

<file path=xl/calcChain.xml><?xml version="1.0" encoding="utf-8"?>
<calcChain xmlns="http://schemas.openxmlformats.org/spreadsheetml/2006/main">
  <c r="D64" i="5" l="1"/>
  <c r="D63" i="5"/>
  <c r="D62" i="5"/>
  <c r="AA64" i="6" l="1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AA62" i="6"/>
  <c r="AA65" i="6" s="1"/>
  <c r="AA66" i="6" s="1"/>
  <c r="Z62" i="6"/>
  <c r="Z65" i="6" s="1"/>
  <c r="Z66" i="6" s="1"/>
  <c r="Y62" i="6"/>
  <c r="Y65" i="6" s="1"/>
  <c r="Y66" i="6" s="1"/>
  <c r="X62" i="6"/>
  <c r="X65" i="6" s="1"/>
  <c r="X66" i="6" s="1"/>
  <c r="W62" i="6"/>
  <c r="W65" i="6" s="1"/>
  <c r="W66" i="6" s="1"/>
  <c r="V62" i="6"/>
  <c r="V65" i="6" s="1"/>
  <c r="V66" i="6" s="1"/>
  <c r="U62" i="6"/>
  <c r="U65" i="6" s="1"/>
  <c r="U66" i="6" s="1"/>
  <c r="T62" i="6"/>
  <c r="T65" i="6" s="1"/>
  <c r="T66" i="6" s="1"/>
  <c r="S62" i="6"/>
  <c r="S65" i="6" s="1"/>
  <c r="S66" i="6" s="1"/>
  <c r="R62" i="6"/>
  <c r="R65" i="6" s="1"/>
  <c r="R66" i="6" s="1"/>
  <c r="Q62" i="6"/>
  <c r="Q65" i="6" s="1"/>
  <c r="Q66" i="6" s="1"/>
  <c r="P62" i="6"/>
  <c r="P65" i="6" s="1"/>
  <c r="P66" i="6" s="1"/>
  <c r="O62" i="6"/>
  <c r="O65" i="6" s="1"/>
  <c r="O66" i="6" s="1"/>
  <c r="N62" i="6"/>
  <c r="N65" i="6" s="1"/>
  <c r="N66" i="6" s="1"/>
  <c r="M62" i="6"/>
  <c r="M65" i="6" s="1"/>
  <c r="M66" i="6" s="1"/>
  <c r="L62" i="6"/>
  <c r="L65" i="6" s="1"/>
  <c r="L66" i="6" s="1"/>
  <c r="K62" i="6"/>
  <c r="K65" i="6" s="1"/>
  <c r="K66" i="6" s="1"/>
  <c r="J62" i="6"/>
  <c r="J65" i="6" s="1"/>
  <c r="J66" i="6" s="1"/>
  <c r="I62" i="6"/>
  <c r="I65" i="6" s="1"/>
  <c r="I66" i="6" s="1"/>
  <c r="H62" i="6"/>
  <c r="H65" i="6" s="1"/>
  <c r="H66" i="6" s="1"/>
  <c r="G62" i="6"/>
  <c r="G65" i="6" s="1"/>
  <c r="G66" i="6" s="1"/>
  <c r="F62" i="6"/>
  <c r="F65" i="6" s="1"/>
  <c r="F66" i="6" s="1"/>
  <c r="E62" i="6"/>
  <c r="E65" i="6" s="1"/>
  <c r="E66" i="6" s="1"/>
  <c r="D62" i="6"/>
  <c r="D65" i="6" s="1"/>
  <c r="D66" i="6" s="1"/>
  <c r="D67" i="6" s="1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AA62" i="5"/>
  <c r="Z62" i="5"/>
  <c r="Z65" i="5" s="1"/>
  <c r="Z66" i="5" s="1"/>
  <c r="Y62" i="5"/>
  <c r="Y65" i="5" s="1"/>
  <c r="Y66" i="5" s="1"/>
  <c r="X62" i="5"/>
  <c r="W62" i="5"/>
  <c r="V62" i="5"/>
  <c r="V65" i="5" s="1"/>
  <c r="V66" i="5" s="1"/>
  <c r="U62" i="5"/>
  <c r="U65" i="5" s="1"/>
  <c r="U66" i="5" s="1"/>
  <c r="T62" i="5"/>
  <c r="S62" i="5"/>
  <c r="R62" i="5"/>
  <c r="R65" i="5" s="1"/>
  <c r="R66" i="5" s="1"/>
  <c r="Q62" i="5"/>
  <c r="P62" i="5"/>
  <c r="O62" i="5"/>
  <c r="N62" i="5"/>
  <c r="N65" i="5" s="1"/>
  <c r="N66" i="5" s="1"/>
  <c r="M62" i="5"/>
  <c r="L62" i="5"/>
  <c r="K62" i="5"/>
  <c r="J62" i="5"/>
  <c r="J65" i="5" s="1"/>
  <c r="J66" i="5" s="1"/>
  <c r="I62" i="5"/>
  <c r="H62" i="5"/>
  <c r="G62" i="5"/>
  <c r="F62" i="5"/>
  <c r="F65" i="5" s="1"/>
  <c r="F66" i="5" s="1"/>
  <c r="E62" i="5"/>
  <c r="G65" i="5" l="1"/>
  <c r="G66" i="5" s="1"/>
  <c r="S65" i="5"/>
  <c r="S66" i="5" s="1"/>
  <c r="AA65" i="5"/>
  <c r="AA66" i="5" s="1"/>
  <c r="H65" i="5"/>
  <c r="H66" i="5" s="1"/>
  <c r="P65" i="5"/>
  <c r="P66" i="5" s="1"/>
  <c r="X65" i="5"/>
  <c r="X66" i="5" s="1"/>
  <c r="K65" i="5"/>
  <c r="K66" i="5" s="1"/>
  <c r="O65" i="5"/>
  <c r="O66" i="5" s="1"/>
  <c r="W65" i="5"/>
  <c r="W66" i="5" s="1"/>
  <c r="L65" i="5"/>
  <c r="L66" i="5" s="1"/>
  <c r="T65" i="5"/>
  <c r="T66" i="5" s="1"/>
  <c r="E65" i="5"/>
  <c r="E66" i="5" s="1"/>
  <c r="I65" i="5"/>
  <c r="I66" i="5" s="1"/>
  <c r="M65" i="5"/>
  <c r="M66" i="5" s="1"/>
  <c r="Q65" i="5"/>
  <c r="Q66" i="5" s="1"/>
  <c r="AB62" i="5"/>
  <c r="AB63" i="5"/>
  <c r="AB64" i="5"/>
  <c r="D65" i="5"/>
  <c r="D66" i="5" l="1"/>
  <c r="AB66" i="5" s="1"/>
  <c r="AB65" i="5"/>
</calcChain>
</file>

<file path=xl/sharedStrings.xml><?xml version="1.0" encoding="utf-8"?>
<sst xmlns="http://schemas.openxmlformats.org/spreadsheetml/2006/main" count="89" uniqueCount="43">
  <si>
    <t>注意：</t>
  </si>
  <si>
    <t>1.请不要修改表格中已有的任何信息；</t>
  </si>
  <si>
    <t>2.仅在表中浅蓝色区域填写订货量数据，没有订货为空白，单位为立方米。</t>
  </si>
  <si>
    <t>3.数据中及左右不要有空格和其他任何符号。</t>
  </si>
  <si>
    <t>编号</t>
  </si>
  <si>
    <t>供应商ID</t>
  </si>
  <si>
    <t>材料分类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</si>
  <si>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</si>
  <si>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</si>
  <si>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</si>
  <si>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</si>
  <si>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</si>
  <si>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</si>
  <si>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</si>
  <si>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</si>
  <si>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</si>
  <si>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</si>
  <si>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</si>
  <si>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</si>
  <si>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</si>
  <si>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</si>
  <si>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</si>
  <si>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</si>
  <si>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</si>
  <si>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</si>
  <si>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</si>
  <si>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</si>
  <si>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</si>
  <si>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</si>
  <si>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</si>
  <si>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</si>
  <si>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材料种类</t>
  </si>
  <si>
    <t>A</t>
  </si>
  <si>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charset val="134"/>
      </rPr>
      <t>类数量</t>
    </r>
  </si>
  <si>
    <t>B</t>
  </si>
  <si>
    <r>
      <rPr>
        <sz val="12"/>
        <color theme="1"/>
        <rFont val="Times New Roman"/>
        <family val="1"/>
      </rPr>
      <t>B</t>
    </r>
    <r>
      <rPr>
        <sz val="12"/>
        <color theme="1"/>
        <rFont val="宋体"/>
        <charset val="134"/>
      </rPr>
      <t>类数量</t>
    </r>
  </si>
  <si>
    <t>C</t>
  </si>
  <si>
    <r>
      <rPr>
        <sz val="12"/>
        <color theme="1"/>
        <rFont val="Times New Roman"/>
        <family val="1"/>
      </rPr>
      <t>C</t>
    </r>
    <r>
      <rPr>
        <sz val="12"/>
        <color theme="1"/>
        <rFont val="宋体"/>
        <charset val="134"/>
      </rPr>
      <t>类数量</t>
    </r>
  </si>
  <si>
    <t>本周总产能</t>
  </si>
  <si>
    <t>订购满足产能比例</t>
  </si>
  <si>
    <t>供应满足产能比例</t>
  </si>
  <si>
    <t>供应满足产能整体比例</t>
  </si>
  <si>
    <t>累计剩余产能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</si>
</sst>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8"/>
      <name val="宋体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F16" sqref="F16"/>
    </sheetView>
  </sheetViews>
  <sheetFormatPr defaultColWidth="9" defaultRowHeight="13.5" x14ac:dyDescent="0.15"/>
  <cols>
    <col min="2" max="2" width="9.625" customWidth="1"/>
    <col min="3" max="3" width="13.75" customWidth="1"/>
    <col min="4" max="4" width="10.625" customWidth="1"/>
  </cols>
  <sheetData>
    <row r="1" spans="1:3" s="1" customFormat="1" x14ac:dyDescent="0.15">
      <c r="B1" s="2" t="s">
        <v>0</v>
      </c>
      <c r="C1" s="2"/>
    </row>
    <row r="2" spans="1:3" s="1" customFormat="1" x14ac:dyDescent="0.15">
      <c r="B2" s="2" t="s">
        <v>1</v>
      </c>
      <c r="C2" s="2"/>
    </row>
    <row r="3" spans="1:3" s="1" customFormat="1" x14ac:dyDescent="0.15">
      <c r="B3" s="2" t="s">
        <v>2</v>
      </c>
      <c r="C3" s="2"/>
    </row>
    <row r="4" spans="1:3" s="1" customFormat="1" x14ac:dyDescent="0.15">
      <c r="B4" s="3" t="s">
        <v>3</v>
      </c>
      <c r="C4" s="3"/>
    </row>
    <row r="5" spans="1:3" s="1" customFormat="1" x14ac:dyDescent="0.15">
      <c r="B5" s="4"/>
      <c r="C5" s="4"/>
    </row>
    <row r="6" spans="1:3" s="1" customFormat="1" x14ac:dyDescent="0.15">
      <c r="A6" s="5" t="s">
        <v>4</v>
      </c>
      <c r="B6" s="5" t="s">
        <v>5</v>
      </c>
      <c r="C6" s="5" t="s">
        <v>6</v>
      </c>
    </row>
    <row r="7" spans="1:3" x14ac:dyDescent="0.15">
      <c r="A7" s="5">
        <v>1</v>
      </c>
      <c r="B7" s="6"/>
      <c r="C7" s="6"/>
    </row>
    <row r="8" spans="1:3" x14ac:dyDescent="0.15">
      <c r="A8" s="5">
        <v>2</v>
      </c>
      <c r="B8" s="6"/>
      <c r="C8" s="6"/>
    </row>
    <row r="9" spans="1:3" x14ac:dyDescent="0.15">
      <c r="A9" s="5">
        <v>3</v>
      </c>
      <c r="B9" s="6"/>
      <c r="C9" s="6"/>
    </row>
    <row r="10" spans="1:3" x14ac:dyDescent="0.15">
      <c r="A10" s="5">
        <v>4</v>
      </c>
      <c r="B10" s="6"/>
      <c r="C10" s="6"/>
    </row>
    <row r="11" spans="1:3" x14ac:dyDescent="0.15">
      <c r="A11" s="5">
        <v>5</v>
      </c>
      <c r="B11" s="6"/>
      <c r="C11" s="6"/>
    </row>
    <row r="12" spans="1:3" x14ac:dyDescent="0.15">
      <c r="A12" s="5">
        <v>6</v>
      </c>
      <c r="B12" s="6"/>
      <c r="C12" s="6"/>
    </row>
    <row r="13" spans="1:3" x14ac:dyDescent="0.15">
      <c r="A13" s="5">
        <v>7</v>
      </c>
      <c r="B13" s="6"/>
      <c r="C13" s="6"/>
    </row>
    <row r="14" spans="1:3" x14ac:dyDescent="0.15">
      <c r="A14" s="5">
        <v>8</v>
      </c>
      <c r="B14" s="6"/>
      <c r="C14" s="6"/>
    </row>
    <row r="15" spans="1:3" x14ac:dyDescent="0.15">
      <c r="A15" s="5">
        <v>9</v>
      </c>
      <c r="B15" s="6"/>
      <c r="C15" s="6"/>
    </row>
    <row r="16" spans="1:3" x14ac:dyDescent="0.15">
      <c r="A16" s="5">
        <v>10</v>
      </c>
      <c r="B16" s="6"/>
      <c r="C16" s="6"/>
    </row>
    <row r="17" spans="1:3" x14ac:dyDescent="0.15">
      <c r="A17" s="5">
        <v>11</v>
      </c>
      <c r="B17" s="6"/>
      <c r="C17" s="6"/>
    </row>
    <row r="18" spans="1:3" x14ac:dyDescent="0.15">
      <c r="A18" s="5">
        <v>12</v>
      </c>
      <c r="B18" s="6"/>
      <c r="C18" s="6"/>
    </row>
    <row r="19" spans="1:3" x14ac:dyDescent="0.15">
      <c r="A19" s="5">
        <v>13</v>
      </c>
      <c r="B19" s="6"/>
      <c r="C19" s="6"/>
    </row>
    <row r="20" spans="1:3" x14ac:dyDescent="0.15">
      <c r="A20" s="5">
        <v>14</v>
      </c>
      <c r="B20" s="6"/>
      <c r="C20" s="6"/>
    </row>
    <row r="21" spans="1:3" x14ac:dyDescent="0.15">
      <c r="A21" s="5">
        <v>15</v>
      </c>
      <c r="B21" s="6"/>
      <c r="C21" s="6"/>
    </row>
    <row r="22" spans="1:3" x14ac:dyDescent="0.15">
      <c r="A22" s="5">
        <v>16</v>
      </c>
      <c r="B22" s="6"/>
      <c r="C22" s="6"/>
    </row>
    <row r="23" spans="1:3" x14ac:dyDescent="0.15">
      <c r="A23" s="5">
        <v>17</v>
      </c>
      <c r="B23" s="6"/>
      <c r="C23" s="6"/>
    </row>
    <row r="24" spans="1:3" x14ac:dyDescent="0.15">
      <c r="A24" s="5">
        <v>18</v>
      </c>
      <c r="B24" s="6"/>
      <c r="C24" s="6"/>
    </row>
    <row r="25" spans="1:3" x14ac:dyDescent="0.15">
      <c r="A25" s="5">
        <v>19</v>
      </c>
      <c r="B25" s="6"/>
      <c r="C25" s="6"/>
    </row>
    <row r="26" spans="1:3" x14ac:dyDescent="0.15">
      <c r="A26" s="5">
        <v>20</v>
      </c>
      <c r="B26" s="6"/>
      <c r="C26" s="6"/>
    </row>
    <row r="27" spans="1:3" x14ac:dyDescent="0.15">
      <c r="A27" s="5">
        <v>21</v>
      </c>
      <c r="B27" s="6"/>
      <c r="C27" s="6"/>
    </row>
    <row r="28" spans="1:3" x14ac:dyDescent="0.15">
      <c r="A28" s="5">
        <v>22</v>
      </c>
      <c r="B28" s="6"/>
      <c r="C28" s="6"/>
    </row>
    <row r="29" spans="1:3" x14ac:dyDescent="0.15">
      <c r="A29" s="5">
        <v>23</v>
      </c>
      <c r="B29" s="6"/>
      <c r="C29" s="6"/>
    </row>
    <row r="30" spans="1:3" x14ac:dyDescent="0.15">
      <c r="A30" s="5">
        <v>24</v>
      </c>
      <c r="B30" s="6"/>
      <c r="C30" s="6"/>
    </row>
    <row r="31" spans="1:3" x14ac:dyDescent="0.15">
      <c r="A31" s="5">
        <v>25</v>
      </c>
      <c r="B31" s="6"/>
      <c r="C31" s="6"/>
    </row>
    <row r="32" spans="1:3" x14ac:dyDescent="0.15">
      <c r="A32" s="5">
        <v>26</v>
      </c>
      <c r="B32" s="6"/>
      <c r="C32" s="6"/>
    </row>
    <row r="33" spans="1:3" x14ac:dyDescent="0.15">
      <c r="A33" s="5">
        <v>27</v>
      </c>
      <c r="B33" s="6"/>
      <c r="C33" s="6"/>
    </row>
    <row r="34" spans="1:3" x14ac:dyDescent="0.15">
      <c r="A34" s="5">
        <v>28</v>
      </c>
      <c r="B34" s="6"/>
      <c r="C34" s="6"/>
    </row>
    <row r="35" spans="1:3" x14ac:dyDescent="0.15">
      <c r="A35" s="5">
        <v>29</v>
      </c>
      <c r="B35" s="6"/>
      <c r="C35" s="6"/>
    </row>
    <row r="36" spans="1:3" x14ac:dyDescent="0.15">
      <c r="A36" s="5">
        <v>30</v>
      </c>
      <c r="B36" s="6"/>
      <c r="C36" s="6"/>
    </row>
    <row r="37" spans="1:3" x14ac:dyDescent="0.15">
      <c r="A37" s="5">
        <v>31</v>
      </c>
      <c r="B37" s="6"/>
      <c r="C37" s="6"/>
    </row>
    <row r="38" spans="1:3" x14ac:dyDescent="0.15">
      <c r="A38" s="5">
        <v>32</v>
      </c>
      <c r="B38" s="6"/>
      <c r="C38" s="6"/>
    </row>
    <row r="39" spans="1:3" x14ac:dyDescent="0.15">
      <c r="A39" s="5">
        <v>33</v>
      </c>
      <c r="B39" s="6"/>
      <c r="C39" s="6"/>
    </row>
    <row r="40" spans="1:3" x14ac:dyDescent="0.15">
      <c r="A40" s="5">
        <v>34</v>
      </c>
      <c r="B40" s="6"/>
      <c r="C40" s="6"/>
    </row>
    <row r="41" spans="1:3" x14ac:dyDescent="0.15">
      <c r="A41" s="5">
        <v>35</v>
      </c>
      <c r="B41" s="6"/>
      <c r="C41" s="6"/>
    </row>
    <row r="42" spans="1:3" x14ac:dyDescent="0.15">
      <c r="A42" s="5">
        <v>36</v>
      </c>
      <c r="B42" s="6"/>
      <c r="C42" s="6"/>
    </row>
    <row r="43" spans="1:3" x14ac:dyDescent="0.15">
      <c r="A43" s="5">
        <v>37</v>
      </c>
      <c r="B43" s="6"/>
      <c r="C43" s="6"/>
    </row>
    <row r="44" spans="1:3" x14ac:dyDescent="0.15">
      <c r="A44" s="5">
        <v>38</v>
      </c>
      <c r="B44" s="6"/>
      <c r="C44" s="6"/>
    </row>
    <row r="45" spans="1:3" x14ac:dyDescent="0.15">
      <c r="A45" s="5">
        <v>39</v>
      </c>
      <c r="B45" s="6"/>
      <c r="C45" s="6"/>
    </row>
    <row r="46" spans="1:3" x14ac:dyDescent="0.15">
      <c r="A46" s="5">
        <v>40</v>
      </c>
      <c r="B46" s="6"/>
      <c r="C46" s="6"/>
    </row>
    <row r="47" spans="1:3" x14ac:dyDescent="0.15">
      <c r="A47" s="5">
        <v>41</v>
      </c>
      <c r="B47" s="6"/>
      <c r="C47" s="6"/>
    </row>
    <row r="48" spans="1:3" x14ac:dyDescent="0.15">
      <c r="A48" s="5">
        <v>42</v>
      </c>
      <c r="B48" s="6"/>
      <c r="C48" s="6"/>
    </row>
    <row r="49" spans="1:3" x14ac:dyDescent="0.15">
      <c r="A49" s="5">
        <v>43</v>
      </c>
      <c r="B49" s="6"/>
      <c r="C49" s="6"/>
    </row>
    <row r="50" spans="1:3" x14ac:dyDescent="0.15">
      <c r="A50" s="5">
        <v>44</v>
      </c>
      <c r="B50" s="6"/>
      <c r="C50" s="6"/>
    </row>
    <row r="51" spans="1:3" x14ac:dyDescent="0.15">
      <c r="A51" s="5">
        <v>45</v>
      </c>
      <c r="B51" s="6"/>
      <c r="C51" s="6"/>
    </row>
    <row r="52" spans="1:3" x14ac:dyDescent="0.15">
      <c r="A52" s="5">
        <v>46</v>
      </c>
      <c r="B52" s="6"/>
      <c r="C52" s="6"/>
    </row>
    <row r="53" spans="1:3" x14ac:dyDescent="0.15">
      <c r="A53" s="5">
        <v>47</v>
      </c>
      <c r="B53" s="6"/>
      <c r="C53" s="6"/>
    </row>
    <row r="54" spans="1:3" x14ac:dyDescent="0.15">
      <c r="A54" s="5">
        <v>48</v>
      </c>
      <c r="B54" s="6"/>
      <c r="C54" s="6"/>
    </row>
    <row r="55" spans="1:3" x14ac:dyDescent="0.15">
      <c r="A55" s="5">
        <v>49</v>
      </c>
      <c r="B55" s="6"/>
      <c r="C55" s="6"/>
    </row>
    <row r="56" spans="1:3" x14ac:dyDescent="0.15">
      <c r="A56" s="5">
        <v>50</v>
      </c>
      <c r="B56" s="6"/>
      <c r="C56" s="6"/>
    </row>
    <row r="57" spans="1:3" x14ac:dyDescent="0.15">
      <c r="A57" s="5">
        <v>51</v>
      </c>
      <c r="B57" s="6"/>
      <c r="C57" s="6"/>
    </row>
    <row r="58" spans="1:3" x14ac:dyDescent="0.15">
      <c r="A58" s="5">
        <v>52</v>
      </c>
      <c r="B58" s="6"/>
      <c r="C58" s="6"/>
    </row>
    <row r="59" spans="1:3" x14ac:dyDescent="0.15">
      <c r="A59" s="5">
        <v>53</v>
      </c>
      <c r="B59" s="6"/>
      <c r="C59" s="6"/>
    </row>
    <row r="60" spans="1:3" x14ac:dyDescent="0.15">
      <c r="A60" s="5">
        <v>54</v>
      </c>
      <c r="B60" s="6"/>
      <c r="C60" s="6"/>
    </row>
    <row r="61" spans="1:3" ht="15.95" customHeight="1" x14ac:dyDescent="0.15">
      <c r="A61" s="5">
        <v>55</v>
      </c>
      <c r="B61" s="6"/>
      <c r="C61" s="6"/>
    </row>
    <row r="62" spans="1:3" ht="18.95" customHeight="1" x14ac:dyDescent="0.15"/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tabSelected="1" topLeftCell="L46" workbookViewId="0">
      <selection activeCell="AB60" sqref="AB60"/>
    </sheetView>
  </sheetViews>
  <sheetFormatPr defaultColWidth="9" defaultRowHeight="13.5" x14ac:dyDescent="0.15"/>
  <cols>
    <col min="2" max="2" width="9.625" customWidth="1"/>
    <col min="3" max="3" width="13.75" customWidth="1"/>
    <col min="4" max="4" width="10.625" customWidth="1"/>
    <col min="5" max="5" width="10.125"/>
    <col min="6" max="10" width="11.125"/>
    <col min="11" max="11" width="10.125"/>
    <col min="12" max="12" width="11.125"/>
    <col min="28" max="28" width="14.125" customWidth="1"/>
    <col min="29" max="29" width="15.375" customWidth="1"/>
  </cols>
  <sheetData>
    <row r="1" spans="1:27" s="1" customFormat="1" x14ac:dyDescent="0.15">
      <c r="B1" s="2" t="s">
        <v>0</v>
      </c>
      <c r="C1" s="2"/>
    </row>
    <row r="2" spans="1:27" s="1" customFormat="1" x14ac:dyDescent="0.15">
      <c r="B2" s="2" t="s">
        <v>1</v>
      </c>
      <c r="C2" s="2"/>
    </row>
    <row r="3" spans="1:27" s="1" customFormat="1" x14ac:dyDescent="0.15">
      <c r="B3" s="2" t="s">
        <v>2</v>
      </c>
      <c r="C3" s="2"/>
    </row>
    <row r="4" spans="1:27" s="1" customFormat="1" x14ac:dyDescent="0.15">
      <c r="B4" s="3" t="s">
        <v>3</v>
      </c>
      <c r="C4" s="3"/>
    </row>
    <row r="5" spans="1:27" s="1" customFormat="1" x14ac:dyDescent="0.15">
      <c r="B5" s="4"/>
      <c r="C5" s="4"/>
    </row>
    <row r="6" spans="1:27" s="1" customFormat="1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</row>
    <row r="7" spans="1:27" x14ac:dyDescent="0.15">
      <c r="A7" s="5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15">
      <c r="A8" s="5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15">
      <c r="A9" s="5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15">
      <c r="A10" s="5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15">
      <c r="A11" s="5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15">
      <c r="A12" s="5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15">
      <c r="A13" s="5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15">
      <c r="A14" s="5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15">
      <c r="A15" s="5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15">
      <c r="A16" s="5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15">
      <c r="A17" s="5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15">
      <c r="A18" s="5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15">
      <c r="A19" s="5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15">
      <c r="A20" s="5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15">
      <c r="A21" s="5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15">
      <c r="A22" s="5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15">
      <c r="A23" s="5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15">
      <c r="A24" s="5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15">
      <c r="A25" s="5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15">
      <c r="A26" s="5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15">
      <c r="A27" s="5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15">
      <c r="A28" s="5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15">
      <c r="A29" s="5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15">
      <c r="A30" s="5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15">
      <c r="A31" s="5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15">
      <c r="A32" s="5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15">
      <c r="A33" s="5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15">
      <c r="A34" s="5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15">
      <c r="A35" s="5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15">
      <c r="A36" s="5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15">
      <c r="A37" s="5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15">
      <c r="A38" s="5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15">
      <c r="A39" s="5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15">
      <c r="A40" s="5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15">
      <c r="A41" s="5">
        <v>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15">
      <c r="A42" s="5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15">
      <c r="A43" s="5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15">
      <c r="A44" s="5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15">
      <c r="A45" s="5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15">
      <c r="A46" s="5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15">
      <c r="A47" s="5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15">
      <c r="A48" s="5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8" x14ac:dyDescent="0.15">
      <c r="A49" s="5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8" x14ac:dyDescent="0.15">
      <c r="A50" s="5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8" x14ac:dyDescent="0.15">
      <c r="A51" s="5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8" x14ac:dyDescent="0.15">
      <c r="A52" s="5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8" x14ac:dyDescent="0.15">
      <c r="A53" s="5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8" x14ac:dyDescent="0.15">
      <c r="A54" s="5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8" x14ac:dyDescent="0.15">
      <c r="A55" s="5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8" x14ac:dyDescent="0.15">
      <c r="A56" s="5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8" x14ac:dyDescent="0.15">
      <c r="A57" s="5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8" x14ac:dyDescent="0.15">
      <c r="A58" s="5">
        <v>52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8" x14ac:dyDescent="0.15">
      <c r="A59" s="5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8" x14ac:dyDescent="0.15">
      <c r="A60" s="5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8" x14ac:dyDescent="0.15">
      <c r="A61" s="5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17" t="s">
        <v>42</v>
      </c>
    </row>
    <row r="62" spans="1:28" ht="15.75" x14ac:dyDescent="0.15">
      <c r="A62" s="15" t="s">
        <v>31</v>
      </c>
      <c r="B62" s="7" t="s">
        <v>32</v>
      </c>
      <c r="C62" s="8" t="s">
        <v>33</v>
      </c>
      <c r="D62" s="9">
        <f>SUMIF($C$7:$C$61,$B$62,D$7:D$61)</f>
        <v>0</v>
      </c>
      <c r="E62" s="9">
        <f>SUMIF($C$7:$C$61,$B$62,E$7:E$61)</f>
        <v>0</v>
      </c>
      <c r="F62" s="9">
        <f>SUMIF($C$7:$C$61,$B$62,F$7:F$61)</f>
        <v>0</v>
      </c>
      <c r="G62" s="9">
        <f>SUMIF($C$7:$C$61,$B$62,G$7:G$61)</f>
        <v>0</v>
      </c>
      <c r="H62" s="9">
        <f>SUMIF($C$7:$C$61,$B$62,H$7:H$61)</f>
        <v>0</v>
      </c>
      <c r="I62" s="9">
        <f>SUMIF($C$7:$C$61,$B$62,I$7:I$61)</f>
        <v>0</v>
      </c>
      <c r="J62" s="9">
        <f>SUMIF($C$7:$C$61,$B$62,J$7:J$61)</f>
        <v>0</v>
      </c>
      <c r="K62" s="9">
        <f>SUMIF($C$7:$C$61,$B$62,K$7:K$61)</f>
        <v>0</v>
      </c>
      <c r="L62" s="9">
        <f>SUMIF($C$7:$C$61,$B$62,L$7:L$61)</f>
        <v>0</v>
      </c>
      <c r="M62" s="9">
        <f>SUMIF($C$7:$C$61,$B$62,M$7:M$61)</f>
        <v>0</v>
      </c>
      <c r="N62" s="9">
        <f>SUMIF($C$7:$C$61,$B$62,N$7:N$61)</f>
        <v>0</v>
      </c>
      <c r="O62" s="9">
        <f>SUMIF($C$7:$C$61,$B$62,O$7:O$61)</f>
        <v>0</v>
      </c>
      <c r="P62" s="9">
        <f>SUMIF($C$7:$C$61,$B$62,P$7:P$61)</f>
        <v>0</v>
      </c>
      <c r="Q62" s="9">
        <f>SUMIF($C$7:$C$61,$B$62,Q$7:Q$61)</f>
        <v>0</v>
      </c>
      <c r="R62" s="9">
        <f>SUMIF($C$7:$C$61,$B$62,R$7:R$61)</f>
        <v>0</v>
      </c>
      <c r="S62" s="9">
        <f>SUMIF($C$7:$C$61,$B$62,S$7:S$61)</f>
        <v>0</v>
      </c>
      <c r="T62" s="9">
        <f>SUMIF($C$7:$C$61,$B$62,T$7:T$61)</f>
        <v>0</v>
      </c>
      <c r="U62" s="9">
        <f>SUMIF($C$7:$C$61,$B$62,U$7:U$61)</f>
        <v>0</v>
      </c>
      <c r="V62" s="9">
        <f>SUMIF($C$7:$C$61,$B$62,V$7:V$61)</f>
        <v>0</v>
      </c>
      <c r="W62" s="9">
        <f>SUMIF($C$7:$C$61,$B$62,W$7:W$61)</f>
        <v>0</v>
      </c>
      <c r="X62" s="9">
        <f>SUMIF($C$7:$C$61,$B$62,X$7:X$61)</f>
        <v>0</v>
      </c>
      <c r="Y62" s="9">
        <f>SUMIF($C$7:$C$61,$B$62,Y$7:Y$61)</f>
        <v>0</v>
      </c>
      <c r="Z62" s="9">
        <f>SUMIF($C$7:$C$61,$B$62,Z$7:Z$61)</f>
        <v>0</v>
      </c>
      <c r="AA62" s="9">
        <f>SUMIF($C$7:$C$61,$B$62,AA$7:AA$61)</f>
        <v>0</v>
      </c>
      <c r="AB62" s="8">
        <f>SUM(D62:AA62)</f>
        <v>0</v>
      </c>
    </row>
    <row r="63" spans="1:28" ht="15.75" x14ac:dyDescent="0.15">
      <c r="A63" s="15"/>
      <c r="B63" s="10" t="s">
        <v>34</v>
      </c>
      <c r="C63" s="8" t="s">
        <v>35</v>
      </c>
      <c r="D63" s="11">
        <f>SUMIF($C$7:$C$61,$B$63,D$7:D$61)</f>
        <v>0</v>
      </c>
      <c r="E63" s="11">
        <f>SUMIF($C$7:$C$61,$B$63,E$7:E$61)</f>
        <v>0</v>
      </c>
      <c r="F63" s="11">
        <f>SUMIF($C$7:$C$61,$B$63,F$7:F$61)</f>
        <v>0</v>
      </c>
      <c r="G63" s="11">
        <f>SUMIF($C$7:$C$61,$B$63,G$7:G$61)</f>
        <v>0</v>
      </c>
      <c r="H63" s="11">
        <f>SUMIF($C$7:$C$61,$B$63,H$7:H$61)</f>
        <v>0</v>
      </c>
      <c r="I63" s="11">
        <f>SUMIF($C$7:$C$61,$B$63,I$7:I$61)</f>
        <v>0</v>
      </c>
      <c r="J63" s="11">
        <f>SUMIF($C$7:$C$61,$B$63,J$7:J$61)</f>
        <v>0</v>
      </c>
      <c r="K63" s="11">
        <f>SUMIF($C$7:$C$61,$B$63,K$7:K$61)</f>
        <v>0</v>
      </c>
      <c r="L63" s="11">
        <f>SUMIF($C$7:$C$61,$B$63,L$7:L$61)</f>
        <v>0</v>
      </c>
      <c r="M63" s="11">
        <f>SUMIF($C$7:$C$61,$B$63,M$7:M$61)</f>
        <v>0</v>
      </c>
      <c r="N63" s="11">
        <f>SUMIF($C$7:$C$61,$B$63,N$7:N$61)</f>
        <v>0</v>
      </c>
      <c r="O63" s="11">
        <f>SUMIF($C$7:$C$61,$B$63,O$7:O$61)</f>
        <v>0</v>
      </c>
      <c r="P63" s="11">
        <f>SUMIF($C$7:$C$61,$B$63,P$7:P$61)</f>
        <v>0</v>
      </c>
      <c r="Q63" s="11">
        <f>SUMIF($C$7:$C$61,$B$63,Q$7:Q$61)</f>
        <v>0</v>
      </c>
      <c r="R63" s="11">
        <f>SUMIF($C$7:$C$61,$B$63,R$7:R$61)</f>
        <v>0</v>
      </c>
      <c r="S63" s="11">
        <f>SUMIF($C$7:$C$61,$B$63,S$7:S$61)</f>
        <v>0</v>
      </c>
      <c r="T63" s="11">
        <f>SUMIF($C$7:$C$61,$B$63,T$7:T$61)</f>
        <v>0</v>
      </c>
      <c r="U63" s="11">
        <f>SUMIF($C$7:$C$61,$B$63,U$7:U$61)</f>
        <v>0</v>
      </c>
      <c r="V63" s="11">
        <f>SUMIF($C$7:$C$61,$B$63,V$7:V$61)</f>
        <v>0</v>
      </c>
      <c r="W63" s="11">
        <f>SUMIF($C$7:$C$61,$B$63,W$7:W$61)</f>
        <v>0</v>
      </c>
      <c r="X63" s="11">
        <f>SUMIF($C$7:$C$61,$B$63,X$7:X$61)</f>
        <v>0</v>
      </c>
      <c r="Y63" s="11">
        <f>SUMIF($C$7:$C$61,$B$63,Y$7:Y$61)</f>
        <v>0</v>
      </c>
      <c r="Z63" s="11">
        <f>SUMIF($C$7:$C$61,$B$63,Z$7:Z$61)</f>
        <v>0</v>
      </c>
      <c r="AA63" s="11">
        <f>SUMIF($C$7:$C$61,$B$63,AA$7:AA$61)</f>
        <v>0</v>
      </c>
      <c r="AB63" s="8">
        <f>SUM(D63:AA63)</f>
        <v>0</v>
      </c>
    </row>
    <row r="64" spans="1:28" ht="15.75" x14ac:dyDescent="0.15">
      <c r="A64" s="16"/>
      <c r="B64" s="10" t="s">
        <v>36</v>
      </c>
      <c r="C64" s="8" t="s">
        <v>37</v>
      </c>
      <c r="D64" s="11">
        <f>SUMIF($C$7:$C$61,$B$64,D$7:D$61)</f>
        <v>0</v>
      </c>
      <c r="E64" s="11">
        <f>SUMIF($C$7:$C$61,$B$64,E$7:E$61)</f>
        <v>0</v>
      </c>
      <c r="F64" s="11">
        <f>SUMIF($C$7:$C$61,$B$64,F$7:F$61)</f>
        <v>0</v>
      </c>
      <c r="G64" s="11">
        <f>SUMIF($C$7:$C$61,$B$64,G$7:G$61)</f>
        <v>0</v>
      </c>
      <c r="H64" s="11">
        <f>SUMIF($C$7:$C$61,$B$64,H$7:H$61)</f>
        <v>0</v>
      </c>
      <c r="I64" s="11">
        <f>SUMIF($C$7:$C$61,$B$64,I$7:I$61)</f>
        <v>0</v>
      </c>
      <c r="J64" s="11">
        <f>SUMIF($C$7:$C$61,$B$64,J$7:J$61)</f>
        <v>0</v>
      </c>
      <c r="K64" s="11">
        <f>SUMIF($C$7:$C$61,$B$64,K$7:K$61)</f>
        <v>0</v>
      </c>
      <c r="L64" s="11">
        <f>SUMIF($C$7:$C$61,$B$64,L$7:L$61)</f>
        <v>0</v>
      </c>
      <c r="M64" s="11">
        <f>SUMIF($C$7:$C$61,$B$64,M$7:M$61)</f>
        <v>0</v>
      </c>
      <c r="N64" s="11">
        <f>SUMIF($C$7:$C$61,$B$64,N$7:N$61)</f>
        <v>0</v>
      </c>
      <c r="O64" s="11">
        <f>SUMIF($C$7:$C$61,$B$64,O$7:O$61)</f>
        <v>0</v>
      </c>
      <c r="P64" s="11">
        <f>SUMIF($C$7:$C$61,$B$64,P$7:P$61)</f>
        <v>0</v>
      </c>
      <c r="Q64" s="11">
        <f>SUMIF($C$7:$C$61,$B$64,Q$7:Q$61)</f>
        <v>0</v>
      </c>
      <c r="R64" s="11">
        <f>SUMIF($C$7:$C$61,$B$64,R$7:R$61)</f>
        <v>0</v>
      </c>
      <c r="S64" s="11">
        <f>SUMIF($C$7:$C$61,$B$64,S$7:S$61)</f>
        <v>0</v>
      </c>
      <c r="T64" s="11">
        <f>SUMIF($C$7:$C$61,$B$64,T$7:T$61)</f>
        <v>0</v>
      </c>
      <c r="U64" s="11">
        <f>SUMIF($C$7:$C$61,$B$64,U$7:U$61)</f>
        <v>0</v>
      </c>
      <c r="V64" s="11">
        <f>SUMIF($C$7:$C$61,$B$64,V$7:V$61)</f>
        <v>0</v>
      </c>
      <c r="W64" s="11">
        <f>SUMIF($C$7:$C$61,$B$64,W$7:W$61)</f>
        <v>0</v>
      </c>
      <c r="X64" s="11">
        <f>SUMIF($C$7:$C$61,$B$64,X$7:X$61)</f>
        <v>0</v>
      </c>
      <c r="Y64" s="11">
        <f>SUMIF($C$7:$C$61,$B$64,Y$7:Y$61)</f>
        <v>0</v>
      </c>
      <c r="Z64" s="11">
        <f>SUMIF($C$7:$C$61,$B$64,Z$7:Z$61)</f>
        <v>0</v>
      </c>
      <c r="AA64" s="11">
        <f>SUMIF($C$7:$C$61,$B$64,AA$7:AA$61)</f>
        <v>0</v>
      </c>
      <c r="AB64" s="8">
        <f>SUM(D64:AA64)</f>
        <v>0</v>
      </c>
    </row>
    <row r="65" spans="3:28" ht="15.75" x14ac:dyDescent="0.15">
      <c r="C65" s="8" t="s">
        <v>38</v>
      </c>
      <c r="D65" s="11">
        <f t="shared" ref="D65:AA65" si="0">D62/0.6+D63/0.66+D64/0.72</f>
        <v>0</v>
      </c>
      <c r="E65" s="12">
        <f t="shared" si="0"/>
        <v>0</v>
      </c>
      <c r="F65" s="12">
        <f t="shared" si="0"/>
        <v>0</v>
      </c>
      <c r="G65" s="12">
        <f t="shared" si="0"/>
        <v>0</v>
      </c>
      <c r="H65" s="12">
        <f t="shared" si="0"/>
        <v>0</v>
      </c>
      <c r="I65" s="12">
        <f t="shared" si="0"/>
        <v>0</v>
      </c>
      <c r="J65" s="12">
        <f t="shared" si="0"/>
        <v>0</v>
      </c>
      <c r="K65" s="12">
        <f t="shared" si="0"/>
        <v>0</v>
      </c>
      <c r="L65" s="12">
        <f t="shared" si="0"/>
        <v>0</v>
      </c>
      <c r="M65" s="12">
        <f t="shared" si="0"/>
        <v>0</v>
      </c>
      <c r="N65" s="12">
        <f t="shared" si="0"/>
        <v>0</v>
      </c>
      <c r="O65" s="12">
        <f t="shared" si="0"/>
        <v>0</v>
      </c>
      <c r="P65" s="12">
        <f t="shared" si="0"/>
        <v>0</v>
      </c>
      <c r="Q65" s="12">
        <f t="shared" si="0"/>
        <v>0</v>
      </c>
      <c r="R65" s="12">
        <f t="shared" si="0"/>
        <v>0</v>
      </c>
      <c r="S65" s="12">
        <f t="shared" si="0"/>
        <v>0</v>
      </c>
      <c r="T65" s="12">
        <f t="shared" si="0"/>
        <v>0</v>
      </c>
      <c r="U65" s="12">
        <f t="shared" si="0"/>
        <v>0</v>
      </c>
      <c r="V65" s="12">
        <f t="shared" si="0"/>
        <v>0</v>
      </c>
      <c r="W65" s="12">
        <f t="shared" si="0"/>
        <v>0</v>
      </c>
      <c r="X65" s="12">
        <f t="shared" si="0"/>
        <v>0</v>
      </c>
      <c r="Y65" s="12">
        <f t="shared" si="0"/>
        <v>0</v>
      </c>
      <c r="Z65" s="12">
        <f t="shared" si="0"/>
        <v>0</v>
      </c>
      <c r="AA65" s="12">
        <f t="shared" si="0"/>
        <v>0</v>
      </c>
      <c r="AB65" s="8">
        <f>SUM(D65:AA65)</f>
        <v>0</v>
      </c>
    </row>
    <row r="66" spans="3:28" ht="35.1" customHeight="1" x14ac:dyDescent="0.15">
      <c r="C66" s="13" t="s">
        <v>39</v>
      </c>
      <c r="D66" s="14">
        <f>(D65)/28200</f>
        <v>0</v>
      </c>
      <c r="E66" s="14">
        <f t="shared" ref="E66:AA66" si="1">(E65)/28200</f>
        <v>0</v>
      </c>
      <c r="F66" s="14">
        <f t="shared" si="1"/>
        <v>0</v>
      </c>
      <c r="G66" s="14">
        <f t="shared" si="1"/>
        <v>0</v>
      </c>
      <c r="H66" s="14">
        <f t="shared" si="1"/>
        <v>0</v>
      </c>
      <c r="I66" s="14">
        <f t="shared" si="1"/>
        <v>0</v>
      </c>
      <c r="J66" s="14">
        <f t="shared" si="1"/>
        <v>0</v>
      </c>
      <c r="K66" s="14">
        <f t="shared" si="1"/>
        <v>0</v>
      </c>
      <c r="L66" s="14">
        <f t="shared" si="1"/>
        <v>0</v>
      </c>
      <c r="M66" s="14">
        <f t="shared" si="1"/>
        <v>0</v>
      </c>
      <c r="N66" s="14">
        <f t="shared" si="1"/>
        <v>0</v>
      </c>
      <c r="O66" s="14">
        <f t="shared" si="1"/>
        <v>0</v>
      </c>
      <c r="P66" s="14">
        <f t="shared" si="1"/>
        <v>0</v>
      </c>
      <c r="Q66" s="14">
        <f t="shared" si="1"/>
        <v>0</v>
      </c>
      <c r="R66" s="14">
        <f t="shared" si="1"/>
        <v>0</v>
      </c>
      <c r="S66" s="14">
        <f t="shared" si="1"/>
        <v>0</v>
      </c>
      <c r="T66" s="14">
        <f t="shared" si="1"/>
        <v>0</v>
      </c>
      <c r="U66" s="14">
        <f t="shared" si="1"/>
        <v>0</v>
      </c>
      <c r="V66" s="14">
        <f t="shared" si="1"/>
        <v>0</v>
      </c>
      <c r="W66" s="14">
        <f t="shared" si="1"/>
        <v>0</v>
      </c>
      <c r="X66" s="14">
        <f t="shared" si="1"/>
        <v>0</v>
      </c>
      <c r="Y66" s="14">
        <f t="shared" si="1"/>
        <v>0</v>
      </c>
      <c r="Z66" s="14">
        <f t="shared" si="1"/>
        <v>0</v>
      </c>
      <c r="AA66" s="14">
        <f t="shared" si="1"/>
        <v>0</v>
      </c>
      <c r="AB66" s="8">
        <f>SUM(D66:AA66)</f>
        <v>0</v>
      </c>
    </row>
  </sheetData>
  <mergeCells count="1">
    <mergeCell ref="A62:A64"/>
  </mergeCells>
  <phoneticPr fontId="5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opLeftCell="K52" workbookViewId="0">
      <selection activeCell="E67" sqref="E67"/>
    </sheetView>
  </sheetViews>
  <sheetFormatPr defaultColWidth="9" defaultRowHeight="13.5" x14ac:dyDescent="0.15"/>
  <cols>
    <col min="2" max="2" width="9.625" customWidth="1"/>
    <col min="3" max="3" width="13.75" customWidth="1"/>
    <col min="4" max="4" width="10.625" customWidth="1"/>
    <col min="5" max="5" width="10.125"/>
    <col min="6" max="10" width="11.125"/>
    <col min="11" max="11" width="10.125"/>
    <col min="12" max="12" width="11.125"/>
    <col min="28" max="28" width="14.125" customWidth="1"/>
  </cols>
  <sheetData>
    <row r="1" spans="1:27" s="1" customFormat="1" x14ac:dyDescent="0.15">
      <c r="B1" s="2" t="s">
        <v>0</v>
      </c>
      <c r="C1" s="2"/>
    </row>
    <row r="2" spans="1:27" s="1" customFormat="1" x14ac:dyDescent="0.15">
      <c r="B2" s="2" t="s">
        <v>1</v>
      </c>
      <c r="C2" s="2"/>
    </row>
    <row r="3" spans="1:27" s="1" customFormat="1" x14ac:dyDescent="0.15">
      <c r="B3" s="2" t="s">
        <v>2</v>
      </c>
      <c r="C3" s="2"/>
    </row>
    <row r="4" spans="1:27" s="1" customFormat="1" x14ac:dyDescent="0.15">
      <c r="B4" s="3" t="s">
        <v>3</v>
      </c>
      <c r="C4" s="3"/>
    </row>
    <row r="5" spans="1:27" s="1" customFormat="1" x14ac:dyDescent="0.15">
      <c r="B5" s="4"/>
      <c r="C5" s="4"/>
    </row>
    <row r="6" spans="1:27" s="1" customFormat="1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</row>
    <row r="7" spans="1:27" x14ac:dyDescent="0.15">
      <c r="A7" s="5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15">
      <c r="A8" s="5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15">
      <c r="A9" s="5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15">
      <c r="A10" s="5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15">
      <c r="A11" s="5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15">
      <c r="A12" s="5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15">
      <c r="A13" s="5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15">
      <c r="A14" s="5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15">
      <c r="A15" s="5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15">
      <c r="A16" s="5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15">
      <c r="A17" s="5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15">
      <c r="A18" s="5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15">
      <c r="A19" s="5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15">
      <c r="A20" s="5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15">
      <c r="A21" s="5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15">
      <c r="A22" s="5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15">
      <c r="A23" s="5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15">
      <c r="A24" s="5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15">
      <c r="A25" s="5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15">
      <c r="A26" s="5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15">
      <c r="A27" s="5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x14ac:dyDescent="0.15">
      <c r="A28" s="5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15">
      <c r="A29" s="5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15">
      <c r="A30" s="5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15">
      <c r="A31" s="5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15">
      <c r="A32" s="5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x14ac:dyDescent="0.15">
      <c r="A33" s="5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x14ac:dyDescent="0.15">
      <c r="A34" s="5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15">
      <c r="A35" s="5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15">
      <c r="A36" s="5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15">
      <c r="A37" s="5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15">
      <c r="A38" s="5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15">
      <c r="A39" s="5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15">
      <c r="A40" s="5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15">
      <c r="A41" s="5">
        <v>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15">
      <c r="A42" s="5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x14ac:dyDescent="0.15">
      <c r="A43" s="5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x14ac:dyDescent="0.15">
      <c r="A44" s="5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15">
      <c r="A45" s="5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15">
      <c r="A46" s="5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15">
      <c r="A47" s="5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15">
      <c r="A48" s="5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15">
      <c r="A49" s="5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15">
      <c r="A50" s="5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15">
      <c r="A51" s="5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x14ac:dyDescent="0.15">
      <c r="A52" s="5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x14ac:dyDescent="0.15">
      <c r="A53" s="5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x14ac:dyDescent="0.15">
      <c r="A54" s="5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x14ac:dyDescent="0.15">
      <c r="A55" s="5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x14ac:dyDescent="0.15">
      <c r="A56" s="5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x14ac:dyDescent="0.15">
      <c r="A57" s="5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x14ac:dyDescent="0.15">
      <c r="A58" s="5">
        <v>52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x14ac:dyDescent="0.15">
      <c r="A59" s="5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x14ac:dyDescent="0.15">
      <c r="A60" s="5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15">
      <c r="A61" s="5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26.1" customHeight="1" x14ac:dyDescent="0.15">
      <c r="A62" s="15" t="s">
        <v>31</v>
      </c>
      <c r="B62" s="7" t="s">
        <v>32</v>
      </c>
      <c r="C62" s="8" t="s">
        <v>33</v>
      </c>
      <c r="D62" s="9">
        <f t="shared" ref="D62:AA62" si="0">SUMIF($C$7:$C$61,$B$62,D$7:D$61)</f>
        <v>0</v>
      </c>
      <c r="E62" s="9">
        <f t="shared" si="0"/>
        <v>0</v>
      </c>
      <c r="F62" s="9">
        <f t="shared" si="0"/>
        <v>0</v>
      </c>
      <c r="G62" s="9">
        <f t="shared" si="0"/>
        <v>0</v>
      </c>
      <c r="H62" s="9">
        <f t="shared" si="0"/>
        <v>0</v>
      </c>
      <c r="I62" s="9">
        <f t="shared" si="0"/>
        <v>0</v>
      </c>
      <c r="J62" s="9">
        <f t="shared" si="0"/>
        <v>0</v>
      </c>
      <c r="K62" s="9">
        <f t="shared" si="0"/>
        <v>0</v>
      </c>
      <c r="L62" s="9">
        <f t="shared" si="0"/>
        <v>0</v>
      </c>
      <c r="M62" s="9">
        <f t="shared" si="0"/>
        <v>0</v>
      </c>
      <c r="N62" s="9">
        <f t="shared" si="0"/>
        <v>0</v>
      </c>
      <c r="O62" s="9">
        <f t="shared" si="0"/>
        <v>0</v>
      </c>
      <c r="P62" s="9">
        <f t="shared" si="0"/>
        <v>0</v>
      </c>
      <c r="Q62" s="9">
        <f t="shared" si="0"/>
        <v>0</v>
      </c>
      <c r="R62" s="9">
        <f t="shared" si="0"/>
        <v>0</v>
      </c>
      <c r="S62" s="9">
        <f t="shared" si="0"/>
        <v>0</v>
      </c>
      <c r="T62" s="9">
        <f t="shared" si="0"/>
        <v>0</v>
      </c>
      <c r="U62" s="9">
        <f t="shared" si="0"/>
        <v>0</v>
      </c>
      <c r="V62" s="9">
        <f t="shared" si="0"/>
        <v>0</v>
      </c>
      <c r="W62" s="9">
        <f t="shared" si="0"/>
        <v>0</v>
      </c>
      <c r="X62" s="9">
        <f t="shared" si="0"/>
        <v>0</v>
      </c>
      <c r="Y62" s="9">
        <f t="shared" si="0"/>
        <v>0</v>
      </c>
      <c r="Z62" s="9">
        <f t="shared" si="0"/>
        <v>0</v>
      </c>
      <c r="AA62" s="9">
        <f t="shared" si="0"/>
        <v>0</v>
      </c>
    </row>
    <row r="63" spans="1:27" ht="24" customHeight="1" x14ac:dyDescent="0.15">
      <c r="A63" s="15"/>
      <c r="B63" s="10" t="s">
        <v>34</v>
      </c>
      <c r="C63" s="8" t="s">
        <v>35</v>
      </c>
      <c r="D63" s="11">
        <f t="shared" ref="D63:AA63" si="1">SUMIF($C$7:$C$61,$B$63,D$7:D$61)</f>
        <v>0</v>
      </c>
      <c r="E63" s="11">
        <f t="shared" si="1"/>
        <v>0</v>
      </c>
      <c r="F63" s="11">
        <f t="shared" si="1"/>
        <v>0</v>
      </c>
      <c r="G63" s="11">
        <f t="shared" si="1"/>
        <v>0</v>
      </c>
      <c r="H63" s="11">
        <f t="shared" si="1"/>
        <v>0</v>
      </c>
      <c r="I63" s="11">
        <f t="shared" si="1"/>
        <v>0</v>
      </c>
      <c r="J63" s="11">
        <f t="shared" si="1"/>
        <v>0</v>
      </c>
      <c r="K63" s="11">
        <f t="shared" si="1"/>
        <v>0</v>
      </c>
      <c r="L63" s="11">
        <f t="shared" si="1"/>
        <v>0</v>
      </c>
      <c r="M63" s="11">
        <f t="shared" si="1"/>
        <v>0</v>
      </c>
      <c r="N63" s="11">
        <f t="shared" si="1"/>
        <v>0</v>
      </c>
      <c r="O63" s="11">
        <f t="shared" si="1"/>
        <v>0</v>
      </c>
      <c r="P63" s="11">
        <f t="shared" si="1"/>
        <v>0</v>
      </c>
      <c r="Q63" s="11">
        <f t="shared" si="1"/>
        <v>0</v>
      </c>
      <c r="R63" s="11">
        <f t="shared" si="1"/>
        <v>0</v>
      </c>
      <c r="S63" s="11">
        <f t="shared" si="1"/>
        <v>0</v>
      </c>
      <c r="T63" s="11">
        <f t="shared" si="1"/>
        <v>0</v>
      </c>
      <c r="U63" s="11">
        <f t="shared" si="1"/>
        <v>0</v>
      </c>
      <c r="V63" s="11">
        <f t="shared" si="1"/>
        <v>0</v>
      </c>
      <c r="W63" s="11">
        <f t="shared" si="1"/>
        <v>0</v>
      </c>
      <c r="X63" s="11">
        <f t="shared" si="1"/>
        <v>0</v>
      </c>
      <c r="Y63" s="11">
        <f t="shared" si="1"/>
        <v>0</v>
      </c>
      <c r="Z63" s="11">
        <f t="shared" si="1"/>
        <v>0</v>
      </c>
      <c r="AA63" s="11">
        <f t="shared" si="1"/>
        <v>0</v>
      </c>
    </row>
    <row r="64" spans="1:27" ht="26.1" customHeight="1" x14ac:dyDescent="0.15">
      <c r="A64" s="16"/>
      <c r="B64" s="10" t="s">
        <v>36</v>
      </c>
      <c r="C64" s="8" t="s">
        <v>37</v>
      </c>
      <c r="D64" s="11">
        <f t="shared" ref="D64:AA64" si="2">SUMIF($C$7:$C$61,$B$64,D$7:D$61)</f>
        <v>0</v>
      </c>
      <c r="E64" s="11">
        <f t="shared" si="2"/>
        <v>0</v>
      </c>
      <c r="F64" s="11">
        <f t="shared" si="2"/>
        <v>0</v>
      </c>
      <c r="G64" s="11">
        <f t="shared" si="2"/>
        <v>0</v>
      </c>
      <c r="H64" s="11">
        <f t="shared" si="2"/>
        <v>0</v>
      </c>
      <c r="I64" s="11">
        <f t="shared" si="2"/>
        <v>0</v>
      </c>
      <c r="J64" s="11">
        <f t="shared" si="2"/>
        <v>0</v>
      </c>
      <c r="K64" s="11">
        <f t="shared" si="2"/>
        <v>0</v>
      </c>
      <c r="L64" s="11">
        <f t="shared" si="2"/>
        <v>0</v>
      </c>
      <c r="M64" s="11">
        <f t="shared" si="2"/>
        <v>0</v>
      </c>
      <c r="N64" s="11">
        <f t="shared" si="2"/>
        <v>0</v>
      </c>
      <c r="O64" s="11">
        <f t="shared" si="2"/>
        <v>0</v>
      </c>
      <c r="P64" s="11">
        <f t="shared" si="2"/>
        <v>0</v>
      </c>
      <c r="Q64" s="11">
        <f t="shared" si="2"/>
        <v>0</v>
      </c>
      <c r="R64" s="11">
        <f t="shared" si="2"/>
        <v>0</v>
      </c>
      <c r="S64" s="11">
        <f t="shared" si="2"/>
        <v>0</v>
      </c>
      <c r="T64" s="11">
        <f t="shared" si="2"/>
        <v>0</v>
      </c>
      <c r="U64" s="11">
        <f t="shared" si="2"/>
        <v>0</v>
      </c>
      <c r="V64" s="11">
        <f t="shared" si="2"/>
        <v>0</v>
      </c>
      <c r="W64" s="11">
        <f t="shared" si="2"/>
        <v>0</v>
      </c>
      <c r="X64" s="11">
        <f t="shared" si="2"/>
        <v>0</v>
      </c>
      <c r="Y64" s="11">
        <f t="shared" si="2"/>
        <v>0</v>
      </c>
      <c r="Z64" s="11">
        <f t="shared" si="2"/>
        <v>0</v>
      </c>
      <c r="AA64" s="11">
        <f t="shared" si="2"/>
        <v>0</v>
      </c>
    </row>
    <row r="65" spans="3:27" ht="21" customHeight="1" x14ac:dyDescent="0.15">
      <c r="C65" s="8" t="s">
        <v>38</v>
      </c>
      <c r="D65" s="11">
        <f t="shared" ref="D65:AA65" si="3">D62/0.6+D63/0.66+D64/0.72</f>
        <v>0</v>
      </c>
      <c r="E65" s="12">
        <f t="shared" si="3"/>
        <v>0</v>
      </c>
      <c r="F65" s="12">
        <f t="shared" si="3"/>
        <v>0</v>
      </c>
      <c r="G65" s="12">
        <f t="shared" si="3"/>
        <v>0</v>
      </c>
      <c r="H65" s="12">
        <f t="shared" si="3"/>
        <v>0</v>
      </c>
      <c r="I65" s="12">
        <f t="shared" si="3"/>
        <v>0</v>
      </c>
      <c r="J65" s="12">
        <f t="shared" si="3"/>
        <v>0</v>
      </c>
      <c r="K65" s="12">
        <f t="shared" si="3"/>
        <v>0</v>
      </c>
      <c r="L65" s="12">
        <f t="shared" si="3"/>
        <v>0</v>
      </c>
      <c r="M65" s="12">
        <f t="shared" si="3"/>
        <v>0</v>
      </c>
      <c r="N65" s="12">
        <f t="shared" si="3"/>
        <v>0</v>
      </c>
      <c r="O65" s="12">
        <f t="shared" si="3"/>
        <v>0</v>
      </c>
      <c r="P65" s="12">
        <f t="shared" si="3"/>
        <v>0</v>
      </c>
      <c r="Q65" s="12">
        <f t="shared" si="3"/>
        <v>0</v>
      </c>
      <c r="R65" s="12">
        <f t="shared" si="3"/>
        <v>0</v>
      </c>
      <c r="S65" s="12">
        <f t="shared" si="3"/>
        <v>0</v>
      </c>
      <c r="T65" s="12">
        <f t="shared" si="3"/>
        <v>0</v>
      </c>
      <c r="U65" s="12">
        <f t="shared" si="3"/>
        <v>0</v>
      </c>
      <c r="V65" s="12">
        <f t="shared" si="3"/>
        <v>0</v>
      </c>
      <c r="W65" s="12">
        <f t="shared" si="3"/>
        <v>0</v>
      </c>
      <c r="X65" s="12">
        <f t="shared" si="3"/>
        <v>0</v>
      </c>
      <c r="Y65" s="12">
        <f t="shared" si="3"/>
        <v>0</v>
      </c>
      <c r="Z65" s="12">
        <f t="shared" si="3"/>
        <v>0</v>
      </c>
      <c r="AA65" s="12">
        <f t="shared" si="3"/>
        <v>0</v>
      </c>
    </row>
    <row r="66" spans="3:27" ht="35.1" customHeight="1" x14ac:dyDescent="0.15">
      <c r="C66" s="13" t="s">
        <v>40</v>
      </c>
      <c r="D66" s="14">
        <f>(D65)/28200</f>
        <v>0</v>
      </c>
      <c r="E66" s="14">
        <f t="shared" ref="E66:AA66" si="4">(E65)/28200</f>
        <v>0</v>
      </c>
      <c r="F66" s="14">
        <f t="shared" si="4"/>
        <v>0</v>
      </c>
      <c r="G66" s="14">
        <f t="shared" si="4"/>
        <v>0</v>
      </c>
      <c r="H66" s="14">
        <f t="shared" si="4"/>
        <v>0</v>
      </c>
      <c r="I66" s="14">
        <f t="shared" si="4"/>
        <v>0</v>
      </c>
      <c r="J66" s="14">
        <f t="shared" si="4"/>
        <v>0</v>
      </c>
      <c r="K66" s="14">
        <f t="shared" si="4"/>
        <v>0</v>
      </c>
      <c r="L66" s="14">
        <f t="shared" si="4"/>
        <v>0</v>
      </c>
      <c r="M66" s="14">
        <f t="shared" si="4"/>
        <v>0</v>
      </c>
      <c r="N66" s="14">
        <f t="shared" si="4"/>
        <v>0</v>
      </c>
      <c r="O66" s="14">
        <f t="shared" si="4"/>
        <v>0</v>
      </c>
      <c r="P66" s="14">
        <f t="shared" si="4"/>
        <v>0</v>
      </c>
      <c r="Q66" s="14">
        <f t="shared" si="4"/>
        <v>0</v>
      </c>
      <c r="R66" s="14">
        <f t="shared" si="4"/>
        <v>0</v>
      </c>
      <c r="S66" s="14">
        <f t="shared" si="4"/>
        <v>0</v>
      </c>
      <c r="T66" s="14">
        <f t="shared" si="4"/>
        <v>0</v>
      </c>
      <c r="U66" s="14">
        <f t="shared" si="4"/>
        <v>0</v>
      </c>
      <c r="V66" s="14">
        <f t="shared" si="4"/>
        <v>0</v>
      </c>
      <c r="W66" s="14">
        <f t="shared" si="4"/>
        <v>0</v>
      </c>
      <c r="X66" s="14">
        <f t="shared" si="4"/>
        <v>0</v>
      </c>
      <c r="Y66" s="14">
        <f t="shared" si="4"/>
        <v>0</v>
      </c>
      <c r="Z66" s="14">
        <f t="shared" si="4"/>
        <v>0</v>
      </c>
      <c r="AA66" s="14">
        <f t="shared" si="4"/>
        <v>0</v>
      </c>
    </row>
    <row r="67" spans="3:27" ht="42.95" customHeight="1" x14ac:dyDescent="0.15">
      <c r="C67" s="13" t="s">
        <v>41</v>
      </c>
      <c r="D67" s="14">
        <f>COUNTIF(D66:AA66,"&gt;=1")</f>
        <v>0</v>
      </c>
    </row>
  </sheetData>
  <mergeCells count="1">
    <mergeCell ref="A62:A64"/>
  </mergeCells>
  <phoneticPr fontId="5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问题1的结果</vt:lpstr>
      <vt:lpstr>问题2的订购方案</vt:lpstr>
      <vt:lpstr>问题3的供应方案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445608410@qq.com</cp:lastModifiedBy>
  <dcterms:created xsi:type="dcterms:W3CDTF">2021-08-07T03:41:00Z</dcterms:created>
  <dcterms:modified xsi:type="dcterms:W3CDTF">2024-07-26T09:08:57Z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2052-12.1.0.15712</vt:lpwstr>
  </property>
</Properties>
</file>